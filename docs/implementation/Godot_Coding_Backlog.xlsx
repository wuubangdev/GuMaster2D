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ACKLOG" sheetId="2" state="visible" r:id="rId2"/>
    <sheet xmlns:r="http://schemas.openxmlformats.org/officeDocument/2006/relationships" name="02_CAPACITY" sheetId="3" state="visible" r:id="rId3"/>
    <sheet xmlns:r="http://schemas.openxmlformats.org/officeDocument/2006/relationships" name="03_FSD_TRACE" sheetId="4" state="visible" r:id="rId4"/>
  </sheets>
  <definedNames>
    <definedName name="_xlnm._FilterDatabase" localSheetId="1" hidden="1">'01_BACKLOG'!$A$4:$K$15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D32"/>
      <sz val="18"/>
    </font>
    <font>
      <b val="1"/>
      <color rgb="00FFFFFF"/>
    </font>
    <font>
      <name val="Calibri"/>
      <color rgb="0020382D"/>
      <sz val="11"/>
    </font>
  </fonts>
  <fills count="4">
    <fill>
      <patternFill/>
    </fill>
    <fill>
      <patternFill patternType="gray125"/>
    </fill>
    <fill>
      <patternFill patternType="solid">
        <fgColor rgb="00214B3B"/>
      </patternFill>
    </fill>
    <fill>
      <patternFill patternType="solid">
        <fgColor rgb="00EFF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9" fontId="3" fillId="3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32" customHeight="1">
      <c r="A1" s="1" t="inlineStr">
        <is>
          <t>GuMaster2D — Godot coding backlog</t>
        </is>
      </c>
    </row>
    <row r="2">
      <c r="A2" t="inlineStr">
        <is>
          <t>07/10/2026 | Godot4.7.2 / GDScript | PC native first | Giờ hữu ích, không phải giờ lịch</t>
        </is>
      </c>
    </row>
    <row r="4">
      <c r="A4" s="2" t="inlineStr">
        <is>
          <t>Mục</t>
        </is>
      </c>
      <c r="B4" s="2" t="inlineStr">
        <is>
          <t>Giá trị / cách dùng</t>
        </is>
      </c>
    </row>
    <row r="5" ht="58" customHeight="1">
      <c r="A5" s="3" t="inlineStr">
        <is>
          <t>Phạm vi</t>
        </is>
      </c>
      <c r="B5" s="3" t="inlineStr">
        <is>
          <t>11 task còn lại của sprint 2 tuần tiếp theo; 84h base +20%reserve =100,8h. Không cộng thêm vào tổng199PD alpha một cách máy móc.</t>
        </is>
      </c>
    </row>
    <row r="6" ht="58" customHeight="1">
      <c r="A6" s="4" t="inlineStr">
        <is>
          <t>Công suất</t>
        </is>
      </c>
      <c r="B6" s="4" t="inlineStr">
        <is>
          <t>4 người ×20h/tuần ×2tuần ×75%focus =120h hữu ích; giờ/role xem02_CAPACITY.</t>
        </is>
      </c>
    </row>
    <row r="7" ht="58" customHeight="1">
      <c r="A7" s="3" t="inlineStr">
        <is>
          <t>Status</t>
        </is>
      </c>
      <c r="B7" s="3" t="inlineStr">
        <is>
          <t>Tất cả task backlog mới chưa bắt đầu; prototype hiện có được trace riêng. Sửa Status/Evidence khi đội review.</t>
        </is>
      </c>
    </row>
    <row r="8" ht="58" customHeight="1">
      <c r="A8" s="4" t="inlineStr">
        <is>
          <t>FSD/WBS</t>
        </is>
      </c>
      <c r="B8" s="4" t="inlineStr">
        <is>
          <t>Đối chiếu ../planning/GuMaster2D_FSD_WBS_Plan.xlsx. Test local không nghiệm thu yêu cầu online.</t>
        </is>
      </c>
    </row>
    <row r="9" ht="58" customHeight="1">
      <c r="A9" s="3" t="inlineStr">
        <is>
          <t>Source</t>
        </is>
      </c>
      <c r="B9" s="3" t="inlineStr">
        <is>
          <t>GODOT_IMPLEMENTATION_PLAN.md; tools/generate_coding_backlog.py tạo lại XLSX/CSV. Lưu bản copy nếu đã sửa workbook thủ công.</t>
        </is>
      </c>
    </row>
    <row r="10" ht="58" customHeight="1">
      <c r="A10" s="4" t="inlineStr">
        <is>
          <t>Ngày</t>
        </is>
      </c>
      <c r="B10" s="4" t="inlineStr">
        <is>
          <t>Chưa chốt kickoff thật. Dùng ngày1–10 trong coding plan; lịch36tuần trong workbook chính vẫn chỉ là forecast.</t>
        </is>
      </c>
    </row>
    <row r="11" ht="58" customHeight="1">
      <c r="A11" s="3" t="inlineStr">
        <is>
          <t>Rủi ro</t>
        </is>
      </c>
      <c r="B11" s="3" t="inlineStr">
        <is>
          <t>Chưa re-estimate Godot/transport/DB; G04/G07 phối hợp bằng payload mẫu và stub ngày1, không chờ tuần tự toàn bộ.</t>
        </is>
      </c>
    </row>
  </sheetData>
  <mergeCells count="1">
    <mergeCell ref="A1:B1"/>
  </mergeCells>
  <pageMargins left="0.75" right="0.75" top="1" bottom="1" header="0.5" footer="0.5"/>
  <pageSetup orientation="landscape" paperSize="8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62" customWidth="1" min="3" max="3"/>
    <col width="12" customWidth="1" min="4" max="4"/>
    <col width="13" customWidth="1" min="5" max="5"/>
    <col width="12" customWidth="1" min="6" max="6"/>
    <col width="30" customWidth="1" min="7" max="7"/>
    <col width="15" customWidth="1" min="8" max="8"/>
    <col width="20" customWidth="1" min="9" max="9"/>
    <col width="85" customWidth="1" min="10" max="10"/>
    <col width="50" customWidth="1" min="11" max="11"/>
  </cols>
  <sheetData>
    <row r="1" ht="32" customHeight="1">
      <c r="A1" s="1" t="inlineStr">
        <is>
          <t>Sprint Godot — 4 owners / 2 weeks</t>
        </is>
      </c>
    </row>
    <row r="2">
      <c r="A2" t="inlineStr">
        <is>
          <t>07/10/2026 | Godot4.7.2 / GDScript | PC native first | Giờ hữu ích, không phải giờ lịch</t>
        </is>
      </c>
    </row>
    <row r="4">
      <c r="A4" s="2" t="inlineStr">
        <is>
          <t>ID</t>
        </is>
      </c>
      <c r="B4" s="2" t="inlineStr">
        <is>
          <t>Owner</t>
        </is>
      </c>
      <c r="C4" s="2" t="inlineStr">
        <is>
          <t>Việc cụ thể</t>
        </is>
      </c>
      <c r="D4" s="2" t="inlineStr">
        <is>
          <t>Base h</t>
        </is>
      </c>
      <c r="E4" s="2" t="inlineStr">
        <is>
          <t>Reserve h</t>
        </is>
      </c>
      <c r="F4" s="2" t="inlineStr">
        <is>
          <t>Total h</t>
        </is>
      </c>
      <c r="G4" s="2" t="inlineStr">
        <is>
          <t>Dependency</t>
        </is>
      </c>
      <c r="H4" s="2" t="inlineStr">
        <is>
          <t>Reviewer</t>
        </is>
      </c>
      <c r="I4" s="2" t="inlineStr">
        <is>
          <t>Status</t>
        </is>
      </c>
      <c r="J4" s="2" t="inlineStr">
        <is>
          <t>Definition of Done</t>
        </is>
      </c>
      <c r="K4" s="2" t="inlineStr">
        <is>
          <t>Evidence / issue</t>
        </is>
      </c>
    </row>
    <row r="5" ht="68" customHeight="1">
      <c r="A5" s="3" t="inlineStr">
        <is>
          <t>G01</t>
        </is>
      </c>
      <c r="B5" s="3" t="inlineStr">
        <is>
          <t>GD/QA</t>
        </is>
      </c>
      <c r="C5" s="3" t="inlineStr">
        <is>
          <t>Rà luật prototype, ghi 10 ca chơi, chốt tên vai trò và máy test</t>
        </is>
      </c>
      <c r="D5" s="3" t="n">
        <v>6</v>
      </c>
      <c r="E5" s="3">
        <f>D5*0.2</f>
        <v>1.2000000000000002</v>
      </c>
      <c r="F5" s="3">
        <f>D5+E5</f>
        <v>7.199999999999999</v>
      </c>
      <c r="G5" s="3" t="inlineStr">
        <is>
          <t>Bản hiện tại</t>
        </is>
      </c>
      <c r="H5" s="3" t="inlineStr">
        <is>
          <t>CL</t>
        </is>
      </c>
      <c r="I5" s="3" t="inlineStr">
        <is>
          <t>Chưa bắt đầu</t>
        </is>
      </c>
      <c r="J5" s="3" t="inlineStr">
        <is>
          <t>Issue có bước tái hiện; danh sách AC được chấp nhận</t>
        </is>
      </c>
      <c r="K5" s="3" t="inlineStr"/>
    </row>
    <row r="6" ht="68" customHeight="1">
      <c r="A6" s="4" t="inlineStr">
        <is>
          <t>G02</t>
        </is>
      </c>
      <c r="B6" s="4" t="inlineStr">
        <is>
          <t>GD/QA</t>
        </is>
      </c>
      <c r="C6" s="4" t="inlineStr">
        <is>
          <t>Chuẩn bị 5 Cổ đầu và test matrix G1</t>
        </is>
      </c>
      <c r="D6" s="4" t="n">
        <v>8</v>
      </c>
      <c r="E6" s="4">
        <f>D6*0.2</f>
        <v>1.6</v>
      </c>
      <c r="F6" s="4">
        <f>D6+E6</f>
        <v>9.6</v>
      </c>
      <c r="G6" s="4" t="inlineStr">
        <is>
          <t>G01</t>
        </is>
      </c>
      <c r="H6" s="4" t="inlineStr">
        <is>
          <t>CL</t>
        </is>
      </c>
      <c r="I6" s="4" t="inlineStr">
        <is>
          <t>Chưa bắt đầu</t>
        </is>
      </c>
      <c r="J6" s="4" t="inlineStr">
        <is>
          <t>Data/cost/duration/range/food có đơn vị; 10 negative cases/primitive</t>
        </is>
      </c>
      <c r="K6" s="4" t="inlineStr"/>
    </row>
    <row r="7" ht="68" customHeight="1">
      <c r="A7" s="3" t="inlineStr">
        <is>
          <t>G03</t>
        </is>
      </c>
      <c r="B7" s="3" t="inlineStr">
        <is>
          <t>CL</t>
        </is>
      </c>
      <c r="C7" s="3" t="inlineStr">
        <is>
          <t>Tách Bag/Hotbar/Pause thành scene, thêm input actions/remap cơ bản</t>
        </is>
      </c>
      <c r="D7" s="3" t="n">
        <v>8</v>
      </c>
      <c r="E7" s="3">
        <f>D7*0.2</f>
        <v>1.6</v>
      </c>
      <c r="F7" s="3">
        <f>D7+E7</f>
        <v>9.6</v>
      </c>
      <c r="G7" s="3" t="inlineStr">
        <is>
          <t>Bản hiện tại</t>
        </is>
      </c>
      <c r="H7" s="3" t="inlineStr">
        <is>
          <t>SV</t>
        </is>
      </c>
      <c r="I7" s="3" t="inlineStr">
        <is>
          <t>Chưa bắt đầu</t>
        </is>
      </c>
      <c r="J7" s="3" t="inlineStr">
        <is>
          <t>UI chỉnh được trong editor; không rò click; test cũ vẫn đạt</t>
        </is>
      </c>
      <c r="K7" s="3" t="inlineStr"/>
    </row>
    <row r="8" ht="68" customHeight="1">
      <c r="A8" s="4" t="inlineStr">
        <is>
          <t>G04</t>
        </is>
      </c>
      <c r="B8" s="4" t="inlineStr">
        <is>
          <t>CL</t>
        </is>
      </c>
      <c r="C8" s="4" t="inlineStr">
        <is>
          <t>CommandGateway, typed snapshot và remote actor interpolation</t>
        </is>
      </c>
      <c r="D8" s="4" t="n">
        <v>10</v>
      </c>
      <c r="E8" s="4">
        <f>D8*0.2</f>
        <v>2.0</v>
      </c>
      <c r="F8" s="4">
        <f>D8+E8</f>
        <v>12.0</v>
      </c>
      <c r="G8" s="4" t="inlineStr">
        <is>
          <t>G07 phối hợp</t>
        </is>
      </c>
      <c r="H8" s="4" t="inlineStr">
        <is>
          <t>SV</t>
        </is>
      </c>
      <c r="I8" s="4" t="inlineStr">
        <is>
          <t>Chưa bắt đầu</t>
        </is>
      </c>
      <c r="J8" s="4" t="inlineStr">
        <is>
          <t>Client không sửa authority; hai avatar hiển thị đúng ID</t>
        </is>
      </c>
      <c r="K8" s="4" t="inlineStr"/>
    </row>
    <row r="9" ht="68" customHeight="1">
      <c r="A9" s="3" t="inlineStr">
        <is>
          <t>G05</t>
        </is>
      </c>
      <c r="B9" s="3" t="inlineStr">
        <is>
          <t>CL</t>
        </is>
      </c>
      <c r="C9" s="3" t="inlineStr">
        <is>
          <t>Spike Windows export + Web single-thread</t>
        </is>
      </c>
      <c r="D9" s="3" t="n">
        <v>6</v>
      </c>
      <c r="E9" s="3">
        <f>D9*0.2</f>
        <v>1.2000000000000002</v>
      </c>
      <c r="F9" s="3">
        <f>D9+E9</f>
        <v>7.199999999999999</v>
      </c>
      <c r="G9" s="3" t="inlineStr">
        <is>
          <t>G03</t>
        </is>
      </c>
      <c r="H9" s="3" t="inlineStr">
        <is>
          <t>SV</t>
        </is>
      </c>
      <c r="I9" s="3" t="inlineStr">
        <is>
          <t>Chưa bắt đầu</t>
        </is>
      </c>
      <c r="J9" s="3" t="inlineStr">
        <is>
          <t>Ghi version/templates/size/FPS; login chưa có được ghi rõ</t>
        </is>
      </c>
      <c r="K9" s="3" t="inlineStr"/>
    </row>
    <row r="10" ht="68" customHeight="1">
      <c r="A10" s="4" t="inlineStr">
        <is>
          <t>G06</t>
        </is>
      </c>
      <c r="B10" s="4" t="inlineStr">
        <is>
          <t>SV</t>
        </is>
      </c>
      <c r="C10" s="4" t="inlineStr">
        <is>
          <t>Headless server shell, session test và command validation</t>
        </is>
      </c>
      <c r="D10" s="4" t="n">
        <v>8</v>
      </c>
      <c r="E10" s="4">
        <f>D10*0.2</f>
        <v>1.6</v>
      </c>
      <c r="F10" s="4">
        <f>D10+E10</f>
        <v>9.6</v>
      </c>
      <c r="G10" s="4" t="inlineStr">
        <is>
          <t>Bản hiện tại</t>
        </is>
      </c>
      <c r="H10" s="4" t="inlineStr">
        <is>
          <t>CL</t>
        </is>
      </c>
      <c r="I10" s="4" t="inlineStr">
        <is>
          <t>Chưa bắt đầu</t>
        </is>
      </c>
      <c r="J10" s="4" t="inlineStr">
        <is>
          <t>Hai client LAN kết nối; server sở hữu movement/cooldown</t>
        </is>
      </c>
      <c r="K10" s="4" t="inlineStr"/>
    </row>
    <row r="11" ht="68" customHeight="1">
      <c r="A11" s="3" t="inlineStr">
        <is>
          <t>G07</t>
        </is>
      </c>
      <c r="B11" s="3" t="inlineStr">
        <is>
          <t>SV</t>
        </is>
      </c>
      <c r="C11" s="3" t="inlineStr">
        <is>
          <t>Protocol v1 + ENet spike; đánh giá WebSocket adapter</t>
        </is>
      </c>
      <c r="D11" s="3" t="n">
        <v>8</v>
      </c>
      <c r="E11" s="3">
        <f>D11*0.2</f>
        <v>1.6</v>
      </c>
      <c r="F11" s="3">
        <f>D11+E11</f>
        <v>9.6</v>
      </c>
      <c r="G11" s="3" t="inlineStr">
        <is>
          <t>G06</t>
        </is>
      </c>
      <c r="H11" s="3" t="inlineStr">
        <is>
          <t>CL</t>
        </is>
      </c>
      <c r="I11" s="3" t="inlineStr">
        <is>
          <t>Chưa bắt đầu</t>
        </is>
      </c>
      <c r="J11" s="3" t="inlineStr">
        <is>
          <t>Sequence, denial, snapshot; duplicate/out-of-order không làm warp</t>
        </is>
      </c>
      <c r="K11" s="3" t="inlineStr"/>
    </row>
    <row r="12" ht="68" customHeight="1">
      <c r="A12" s="4" t="inlineStr">
        <is>
          <t>G08</t>
        </is>
      </c>
      <c r="B12" s="4" t="inlineStr">
        <is>
          <t>SV</t>
        </is>
      </c>
      <c r="C12" s="4" t="inlineStr">
        <is>
          <t>PostgreSQL/service adapter spike cho feed receipt</t>
        </is>
      </c>
      <c r="D12" s="4" t="n">
        <v>8</v>
      </c>
      <c r="E12" s="4">
        <f>D12*0.2</f>
        <v>1.6</v>
      </c>
      <c r="F12" s="4">
        <f>D12+E12</f>
        <v>9.6</v>
      </c>
      <c r="G12" s="4" t="inlineStr">
        <is>
          <t>G06</t>
        </is>
      </c>
      <c r="H12" s="4" t="inlineStr">
        <is>
          <t>CL</t>
        </is>
      </c>
      <c r="I12" s="4" t="inlineStr">
        <is>
          <t>Chưa bắt đầu</t>
        </is>
      </c>
      <c r="J12" s="4" t="inlineStr">
        <is>
          <t>Cùng UUID 20 retry và hai kết nối chỉ consume 1; rollback khi lỗi</t>
        </is>
      </c>
      <c r="K12" s="4" t="inlineStr"/>
    </row>
    <row r="13" ht="68" customHeight="1">
      <c r="A13" s="3" t="inlineStr">
        <is>
          <t>G09</t>
        </is>
      </c>
      <c r="B13" s="3" t="inlineStr">
        <is>
          <t>AR</t>
        </is>
      </c>
      <c r="C13" s="3" t="inlineStr">
        <is>
          <t>Style guide, chỉnh avatar/sói và silhouette trong scene hiện có</t>
        </is>
      </c>
      <c r="D13" s="3" t="n">
        <v>8</v>
      </c>
      <c r="E13" s="3">
        <f>D13*0.2</f>
        <v>1.6</v>
      </c>
      <c r="F13" s="3">
        <f>D13+E13</f>
        <v>9.6</v>
      </c>
      <c r="G13" s="3" t="inlineStr">
        <is>
          <t>Bản hiện tại</t>
        </is>
      </c>
      <c r="H13" s="3" t="inlineStr">
        <is>
          <t>GD/QA</t>
        </is>
      </c>
      <c r="I13" s="3" t="inlineStr">
        <is>
          <t>Chưa bắt đầu</t>
        </is>
      </c>
      <c r="J13" s="3" t="inlineStr">
        <is>
          <t>Nhân vật/mục tiêu đọc rõ ở 1366×768; asset manifest</t>
        </is>
      </c>
      <c r="K13" s="3" t="inlineStr"/>
    </row>
    <row r="14" ht="68" customHeight="1">
      <c r="A14" s="4" t="inlineStr">
        <is>
          <t>G10</t>
        </is>
      </c>
      <c r="B14" s="4" t="inlineStr">
        <is>
          <t>AR</t>
        </is>
      </c>
      <c r="C14" s="4" t="inlineStr">
        <is>
          <t>Bộ 5 icon và tín hiệu ready/cooldown/đói/không đủ mana</t>
        </is>
      </c>
      <c r="D14" s="4" t="n">
        <v>8</v>
      </c>
      <c r="E14" s="4">
        <f>D14*0.2</f>
        <v>1.6</v>
      </c>
      <c r="F14" s="4">
        <f>D14+E14</f>
        <v>9.6</v>
      </c>
      <c r="G14" s="4" t="inlineStr">
        <is>
          <t>G02, G03 phối hợp</t>
        </is>
      </c>
      <c r="H14" s="4" t="inlineStr">
        <is>
          <t>GD/QA</t>
        </is>
      </c>
      <c r="I14" s="4" t="inlineStr">
        <is>
          <t>Chưa bắt đầu</t>
        </is>
      </c>
      <c r="J14" s="4" t="inlineStr">
        <is>
          <t>Skill trạng thái đọc được khi mute và không chỉ dựa màu</t>
        </is>
      </c>
      <c r="K14" s="4" t="inlineStr"/>
    </row>
    <row r="15" ht="68" customHeight="1">
      <c r="A15" s="3" t="inlineStr">
        <is>
          <t>G11</t>
        </is>
      </c>
      <c r="B15" s="3" t="inlineStr">
        <is>
          <t>AR</t>
        </is>
      </c>
      <c r="C15" s="3" t="inlineStr">
        <is>
          <t>Chỉnh collision/đường đi, mép map và vùng trại</t>
        </is>
      </c>
      <c r="D15" s="3" t="n">
        <v>6</v>
      </c>
      <c r="E15" s="3">
        <f>D15*0.2</f>
        <v>1.2000000000000002</v>
      </c>
      <c r="F15" s="3">
        <f>D15+E15</f>
        <v>7.199999999999999</v>
      </c>
      <c r="G15" s="3" t="inlineStr">
        <is>
          <t>G01</t>
        </is>
      </c>
      <c r="H15" s="3" t="inlineStr">
        <is>
          <t>GD/QA</t>
        </is>
      </c>
      <c r="I15" s="3" t="inlineStr">
        <is>
          <t>Chưa bắt đầu</t>
        </is>
      </c>
      <c r="J15" s="3" t="inlineStr">
        <is>
          <t>10 đường qua props không kẹt; ranh safe zone khớp mô phỏng</t>
        </is>
      </c>
      <c r="K15" s="3" t="inlineStr"/>
    </row>
  </sheetData>
  <autoFilter ref="A4:K15"/>
  <mergeCells count="1">
    <mergeCell ref="A1:K1"/>
  </mergeCells>
  <dataValidations count="1">
    <dataValidation sqref="I5:I15" showDropDown="0" showInputMessage="0" showErrorMessage="0" allowBlank="0" type="list">
      <formula1>"Chưa bắt đầu,Đang làm,Đang review,Hoàn thành,Bị chặn,Hoãn"</formula1>
    </dataValidation>
  </dataValidations>
  <pageMargins left="0.75" right="0.75" top="1" bottom="1" header="0.5" footer="0.5"/>
  <pageSetup orientation="landscape" paperSize="8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9" customWidth="1" min="4" max="4"/>
    <col width="19" customWidth="1" min="5" max="5"/>
    <col width="21" customWidth="1" min="6" max="6"/>
    <col width="20" customWidth="1" min="7" max="7"/>
  </cols>
  <sheetData>
    <row r="1" ht="32" customHeight="1">
      <c r="A1" s="1" t="inlineStr">
        <is>
          <t>Công suất sprint — sửa giờ và focus khi đội chốt</t>
        </is>
      </c>
    </row>
    <row r="2">
      <c r="A2" t="inlineStr">
        <is>
          <t>07/10/2026 | Godot4.7.2 / GDScript | PC native first | Giờ hữu ích, không phải giờ lịch</t>
        </is>
      </c>
    </row>
    <row r="4">
      <c r="A4" s="2" t="inlineStr">
        <is>
          <t>Role</t>
        </is>
      </c>
      <c r="B4" s="2" t="inlineStr">
        <is>
          <t>h/tuần</t>
        </is>
      </c>
      <c r="C4" s="2" t="inlineStr">
        <is>
          <t>Focus</t>
        </is>
      </c>
      <c r="D4" s="2" t="inlineStr">
        <is>
          <t>Capacity h</t>
        </is>
      </c>
      <c r="E4" s="2" t="inlineStr">
        <is>
          <t>Base task h</t>
        </is>
      </c>
      <c r="F4" s="2" t="inlineStr">
        <is>
          <t>Incl reserve h</t>
        </is>
      </c>
      <c r="G4" s="2" t="inlineStr">
        <is>
          <t>Remaining h</t>
        </is>
      </c>
    </row>
    <row r="5" ht="58" customHeight="1">
      <c r="A5" s="3" t="inlineStr">
        <is>
          <t>GD/QA</t>
        </is>
      </c>
      <c r="B5" s="3" t="n">
        <v>20</v>
      </c>
      <c r="C5" s="5" t="n">
        <v>0.75</v>
      </c>
      <c r="D5" s="3">
        <f>B5*2*C5</f>
        <v>30</v>
      </c>
      <c r="E5" s="3">
        <f>SUMIF('01_BACKLOG'!B5:B15,A5,'01_BACKLOG'!D5:D15)</f>
        <v>14.0</v>
      </c>
      <c r="F5" s="3">
        <f>SUMIF('01_BACKLOG'!B5:B15,A5,'01_BACKLOG'!F5:F15)</f>
        <v>16.8</v>
      </c>
      <c r="G5" s="3">
        <f>D5-F5</f>
        <v>13.2</v>
      </c>
    </row>
    <row r="6" ht="58" customHeight="1">
      <c r="A6" s="4" t="inlineStr">
        <is>
          <t>CL</t>
        </is>
      </c>
      <c r="B6" s="4" t="n">
        <v>20</v>
      </c>
      <c r="C6" s="6" t="n">
        <v>0.75</v>
      </c>
      <c r="D6" s="4">
        <f>B6*2*C6</f>
        <v>30</v>
      </c>
      <c r="E6" s="4">
        <f>SUMIF('01_BACKLOG'!B5:B15,A6,'01_BACKLOG'!D5:D15)</f>
        <v>24.0</v>
      </c>
      <c r="F6" s="4">
        <f>SUMIF('01_BACKLOG'!B5:B15,A6,'01_BACKLOG'!F5:F15)</f>
        <v>28.799999999999997</v>
      </c>
      <c r="G6" s="4">
        <f>D6-F6</f>
        <v>1.2000000000000028</v>
      </c>
    </row>
    <row r="7" ht="58" customHeight="1">
      <c r="A7" s="3" t="inlineStr">
        <is>
          <t>SV</t>
        </is>
      </c>
      <c r="B7" s="3" t="n">
        <v>20</v>
      </c>
      <c r="C7" s="5" t="n">
        <v>0.75</v>
      </c>
      <c r="D7" s="3">
        <f>B7*2*C7</f>
        <v>30</v>
      </c>
      <c r="E7" s="3">
        <f>SUMIF('01_BACKLOG'!B5:B15,A7,'01_BACKLOG'!D5:D15)</f>
        <v>24.0</v>
      </c>
      <c r="F7" s="3">
        <f>SUMIF('01_BACKLOG'!B5:B15,A7,'01_BACKLOG'!F5:F15)</f>
        <v>28.799999999999997</v>
      </c>
      <c r="G7" s="3">
        <f>D7-F7</f>
        <v>1.2000000000000028</v>
      </c>
    </row>
    <row r="8" ht="58" customHeight="1">
      <c r="A8" s="4" t="inlineStr">
        <is>
          <t>AR</t>
        </is>
      </c>
      <c r="B8" s="4" t="n">
        <v>20</v>
      </c>
      <c r="C8" s="6" t="n">
        <v>0.75</v>
      </c>
      <c r="D8" s="4">
        <f>B8*2*C8</f>
        <v>30</v>
      </c>
      <c r="E8" s="4">
        <f>SUMIF('01_BACKLOG'!B5:B15,A8,'01_BACKLOG'!D5:D15)</f>
        <v>22.0</v>
      </c>
      <c r="F8" s="4">
        <f>SUMIF('01_BACKLOG'!B5:B15,A8,'01_BACKLOG'!F5:F15)</f>
        <v>26.4</v>
      </c>
      <c r="G8" s="4">
        <f>D8-F8</f>
        <v>3.6000000000000014</v>
      </c>
    </row>
    <row r="9" ht="58" customHeight="1">
      <c r="A9" s="3" t="inlineStr">
        <is>
          <t>TOTAL</t>
        </is>
      </c>
      <c r="B9" s="3" t="inlineStr"/>
      <c r="C9" s="3" t="inlineStr"/>
      <c r="D9" s="3">
        <f>SUM(D5:D8)</f>
        <v>120</v>
      </c>
      <c r="E9" s="3">
        <f>SUM(E5:E8)</f>
        <v>84</v>
      </c>
      <c r="F9" s="3">
        <f>SUM(F5:F8)</f>
        <v>100.8</v>
      </c>
      <c r="G9" s="3">
        <f>SUM(G5:G8)</f>
        <v>19.2</v>
      </c>
    </row>
    <row r="10" ht="58" customHeight="1">
      <c r="A10" s="4" t="inlineStr">
        <is>
          <t>Lưu ý</t>
        </is>
      </c>
      <c r="B10" s="4" t="inlineStr">
        <is>
          <t>Thay capacity không tự đổi estimate/dependency; nếu role quá tải phải rebaseline.</t>
        </is>
      </c>
      <c r="C10" s="4" t="n"/>
      <c r="D10" s="4" t="n"/>
      <c r="E10" s="4" t="n"/>
      <c r="F10" s="4" t="n"/>
      <c r="G10" s="4" t="n"/>
    </row>
  </sheetData>
  <mergeCells count="1">
    <mergeCell ref="A1:G1"/>
  </mergeCells>
  <pageMargins left="0.75" right="0.75" top="1" bottom="1" header="0.5" footer="0.5"/>
  <pageSetup orientation="landscape" paperSize="8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88" customWidth="1" min="3" max="3"/>
    <col width="88" customWidth="1" min="4" max="4"/>
  </cols>
  <sheetData>
    <row r="1" ht="32" customHeight="1">
      <c r="A1" s="1" t="inlineStr">
        <is>
          <t>Prototype evidence — tất cả chỉ một phần/local</t>
        </is>
      </c>
    </row>
    <row r="2">
      <c r="A2" t="inlineStr">
        <is>
          <t>07/10/2026 | Godot4.7.2 / GDScript | PC native first | Giờ hữu ích, không phải giờ lịch</t>
        </is>
      </c>
    </row>
    <row r="4">
      <c r="A4" s="2" t="inlineStr">
        <is>
          <t>FSD</t>
        </is>
      </c>
      <c r="B4" s="2" t="inlineStr">
        <is>
          <t>WBS</t>
        </is>
      </c>
      <c r="C4" s="2" t="inlineStr">
        <is>
          <t>Đã có</t>
        </is>
      </c>
      <c r="D4" s="2" t="inlineStr">
        <is>
          <t>Còn thiếu</t>
        </is>
      </c>
    </row>
    <row r="5" ht="58" customHeight="1">
      <c r="A5" s="3" t="inlineStr">
        <is>
          <t>CL-003, CL-004</t>
        </is>
      </c>
      <c r="B5" s="3" t="inlineStr">
        <is>
          <t>T01-CL, T02-CL, T03-CL</t>
        </is>
      </c>
      <c r="C5" s="3" t="inlineStr">
        <is>
          <t>WorldGrid, WorldView; tìm đường, sweep, input, screenshot</t>
        </is>
      </c>
      <c r="D5" s="3" t="inlineStr">
        <is>
          <t>Server xác nhận, camera clamp, kiểm máy/resolution chính thức</t>
        </is>
      </c>
    </row>
    <row r="6" ht="58" customHeight="1">
      <c r="A6" s="4" t="inlineStr">
        <is>
          <t>CL-005, CL-006</t>
        </is>
      </c>
      <c r="B6" s="4" t="inlineStr">
        <is>
          <t>T03-CL, T04-CL, T06-CL</t>
        </is>
      </c>
      <c r="C6" s="4" t="inlineStr">
        <is>
          <t>Chọn sói, target HP, minimap</t>
        </is>
      </c>
      <c r="D6" s="4" t="inlineStr">
        <is>
          <t>NPC/autowalk/portal/party/AOI/handoff</t>
        </is>
      </c>
    </row>
    <row r="7" ht="58" customHeight="1">
      <c r="A7" s="3" t="inlineStr">
        <is>
          <t>CL-007–CL-010</t>
        </is>
      </c>
      <c r="B7" s="3" t="inlineStr">
        <is>
          <t>T04-AR, T05-CL, T05-AR</t>
        </is>
      </c>
      <c r="C7" s="3" t="inlineStr">
        <is>
          <t>4 Cổ, QWER/click, mana, cooldown, FX</t>
        </is>
      </c>
      <c r="D7" s="3" t="inlineStr">
        <is>
          <t>Cổ thứ 5, remap, AoE/cast bar/stun/heal, server events</t>
        </is>
      </c>
    </row>
    <row r="8" ht="58" customHeight="1">
      <c r="A8" s="4" t="inlineStr">
        <is>
          <t>CL-011, CL-012</t>
        </is>
      </c>
      <c r="B8" s="4" t="inlineStr">
        <is>
          <t>T06-CL, T06-SV</t>
        </is>
      </c>
      <c r="C8" s="4" t="inlineStr">
        <is>
          <t>AI, kill once local, loot, penalty một lần, respawn</t>
        </is>
      </c>
      <c r="D8" s="4" t="inlineStr">
        <is>
          <t>Hai client/owner, durable reward receipt, inbox chuẩn 100 entry</t>
        </is>
      </c>
    </row>
    <row r="9" ht="58" customHeight="1">
      <c r="A9" s="3" t="inlineStr">
        <is>
          <t>CL-013</t>
        </is>
      </c>
      <c r="B9" s="3" t="inlineStr">
        <is>
          <t>T07-CL</t>
        </is>
      </c>
      <c r="C9" s="3" t="inlineStr">
        <is>
          <t>30 ô, stack 99, Gu unique, overflow local</t>
        </is>
      </c>
      <c r="D9" s="3" t="inlineStr">
        <is>
          <t>Filter/sort và toàn bộ UI inventory alpha</t>
        </is>
      </c>
    </row>
    <row r="10" ht="58" customHeight="1">
      <c r="A10" s="4" t="inlineStr">
        <is>
          <t>CL-016, CL-017</t>
        </is>
      </c>
      <c r="B10" s="4" t="inlineStr">
        <is>
          <t>T08-CL</t>
        </is>
      </c>
      <c r="C10" s="4" t="inlineStr">
        <is>
          <t>HP/tầm/seal/channel/RNG/cancel, feed/version/retry</t>
        </is>
      </c>
      <c r="D10" s="4" t="inlineStr">
        <is>
          <t>Exclusive claim nhiều client, transaction, offline/session policy</t>
        </is>
      </c>
    </row>
    <row r="11" ht="58" customHeight="1">
      <c r="A11" s="3" t="inlineStr">
        <is>
          <t>CL-020, CL-021, CL-029</t>
        </is>
      </c>
      <c r="B11" s="3" t="inlineStr">
        <is>
          <t>T10-CL, T03-GD</t>
        </is>
      </c>
      <c r="C11" s="3" t="inlineStr">
        <is>
          <t>XP curve, khảo nghiệm, hướng dẫn</t>
        </is>
      </c>
      <c r="D11" s="3" t="inlineStr">
        <is>
          <t>Rank II, 10 quest, onboarding thử với người mới</t>
        </is>
      </c>
    </row>
    <row r="12" ht="58" customHeight="1">
      <c r="A12" s="4" t="inlineStr">
        <is>
          <t>SV-005, SV-006, SV-010</t>
        </is>
      </c>
      <c r="B12" s="4" t="inlineStr">
        <is>
          <t>T05-SV, T06-SV, T08-SV</t>
        </is>
      </c>
      <c r="C12" s="4" t="inlineStr">
        <is>
          <t>Logic local làm reference cho server</t>
        </is>
      </c>
      <c r="D12" s="4" t="inlineStr">
        <is>
          <t>Server độc lập, auth, concurrency và persistence</t>
        </is>
      </c>
    </row>
  </sheetData>
  <mergeCells count="1">
    <mergeCell ref="A1:D1"/>
  </mergeCells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2026-10-07T10:49:27Z</dcterms:created>
  <dcterms:modified xmlns:dcterms="http://purl.org/dc/terms/" xmlns:xsi="http://www.w3.org/2001/XMLSchema-instance" xsi:type="dcterms:W3CDTF">2026-10-07T10:49:27Z</dcterms:modified>
</cp:coreProperties>
</file>