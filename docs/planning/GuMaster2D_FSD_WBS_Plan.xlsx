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TART" sheetId="1" state="visible" r:id="rId1"/>
    <sheet xmlns:r="http://schemas.openxmlformats.org/officeDocument/2006/relationships" name="01_SCOPE" sheetId="2" state="visible" r:id="rId2"/>
    <sheet xmlns:r="http://schemas.openxmlformats.org/officeDocument/2006/relationships" name="02_DECISIONS" sheetId="3" state="visible" r:id="rId3"/>
    <sheet xmlns:r="http://schemas.openxmlformats.org/officeDocument/2006/relationships" name="03_FSD_CLIENT" sheetId="4" state="visible" r:id="rId4"/>
    <sheet xmlns:r="http://schemas.openxmlformats.org/officeDocument/2006/relationships" name="04_FSD_SERVER" sheetId="5" state="visible" r:id="rId5"/>
    <sheet xmlns:r="http://schemas.openxmlformats.org/officeDocument/2006/relationships" name="05_FSD_ADMIN" sheetId="6" state="visible" r:id="rId6"/>
    <sheet xmlns:r="http://schemas.openxmlformats.org/officeDocument/2006/relationships" name="06_NFR" sheetId="7" state="visible" r:id="rId7"/>
    <sheet xmlns:r="http://schemas.openxmlformats.org/officeDocument/2006/relationships" name="07_RULES" sheetId="8" state="visible" r:id="rId8"/>
    <sheet xmlns:r="http://schemas.openxmlformats.org/officeDocument/2006/relationships" name="08_USE_CASES" sheetId="9" state="visible" r:id="rId9"/>
    <sheet xmlns:r="http://schemas.openxmlformats.org/officeDocument/2006/relationships" name="09_DATA" sheetId="10" state="visible" r:id="rId10"/>
    <sheet xmlns:r="http://schemas.openxmlformats.org/officeDocument/2006/relationships" name="10_API" sheetId="11" state="visible" r:id="rId11"/>
    <sheet xmlns:r="http://schemas.openxmlformats.org/officeDocument/2006/relationships" name="11_GU_CATALOG" sheetId="12" state="visible" r:id="rId12"/>
    <sheet xmlns:r="http://schemas.openxmlformats.org/officeDocument/2006/relationships" name="12_CONTENT" sheetId="13" state="visible" r:id="rId13"/>
    <sheet xmlns:r="http://schemas.openxmlformats.org/officeDocument/2006/relationships" name="13_WBS" sheetId="14" state="visible" r:id="rId14"/>
    <sheet xmlns:r="http://schemas.openxmlformats.org/officeDocument/2006/relationships" name="14_GANTT" sheetId="15" state="visible" r:id="rId15"/>
    <sheet xmlns:r="http://schemas.openxmlformats.org/officeDocument/2006/relationships" name="15_GATES" sheetId="16" state="visible" r:id="rId16"/>
    <sheet xmlns:r="http://schemas.openxmlformats.org/officeDocument/2006/relationships" name="16_TEST_CASES" sheetId="17" state="visible" r:id="rId17"/>
    <sheet xmlns:r="http://schemas.openxmlformats.org/officeDocument/2006/relationships" name="17_QA_REQUESTS" sheetId="18" state="visible" r:id="rId18"/>
    <sheet xmlns:r="http://schemas.openxmlformats.org/officeDocument/2006/relationships" name="18_RISKS" sheetId="19" state="visible" r:id="rId19"/>
    <sheet xmlns:r="http://schemas.openxmlformats.org/officeDocument/2006/relationships" name="19_RESOURCE" sheetId="20" state="visible" r:id="rId20"/>
    <sheet xmlns:r="http://schemas.openxmlformats.org/officeDocument/2006/relationships" name="20_SPRINT_LOAD" sheetId="21" state="visible" r:id="rId21"/>
    <sheet xmlns:r="http://schemas.openxmlformats.org/officeDocument/2006/relationships" name="21_SCENARIOS" sheetId="22" state="visible" r:id="rId22"/>
    <sheet xmlns:r="http://schemas.openxmlformats.org/officeDocument/2006/relationships" name="22_COST" sheetId="23" state="visible" r:id="rId23"/>
    <sheet xmlns:r="http://schemas.openxmlformats.org/officeDocument/2006/relationships" name="23_TRACE" sheetId="24" state="visible" r:id="rId24"/>
    <sheet xmlns:r="http://schemas.openxmlformats.org/officeDocument/2006/relationships" name="24_SOURCES" sheetId="25" state="visible" r:id="rId25"/>
  </sheets>
  <definedNames>
    <definedName name="_xlnm.Print_Titles" localSheetId="0">'00_START'!$1:$4</definedName>
    <definedName name="_xlnm._FilterDatabase" localSheetId="1" hidden="1">'01_SCOPE'!$A$4:$F$19</definedName>
    <definedName name="_xlnm.Print_Titles" localSheetId="1">'01_SCOPE'!$1:$4</definedName>
    <definedName name="_xlnm._FilterDatabase" localSheetId="2" hidden="1">'02_DECISIONS'!$A$4:$G$15</definedName>
    <definedName name="_xlnm.Print_Titles" localSheetId="2">'02_DECISIONS'!$1:$4</definedName>
    <definedName name="_xlnm._FilterDatabase" localSheetId="3" hidden="1">'03_FSD_CLIENT'!$A$4:$V$34</definedName>
    <definedName name="_xlnm.Print_Titles" localSheetId="3">'03_FSD_CLIENT'!$1:$4</definedName>
    <definedName name="_xlnm._FilterDatabase" localSheetId="4" hidden="1">'04_FSD_SERVER'!$A$4:$V$22</definedName>
    <definedName name="_xlnm.Print_Titles" localSheetId="4">'04_FSD_SERVER'!$1:$4</definedName>
    <definedName name="_xlnm._FilterDatabase" localSheetId="5" hidden="1">'05_FSD_ADMIN'!$A$4:$V$11</definedName>
    <definedName name="_xlnm.Print_Titles" localSheetId="5">'05_FSD_ADMIN'!$1:$4</definedName>
    <definedName name="_xlnm._FilterDatabase" localSheetId="6" hidden="1">'06_NFR'!$A$4:$F$16</definedName>
    <definedName name="_xlnm.Print_Titles" localSheetId="6">'06_NFR'!$1:$4</definedName>
    <definedName name="_xlnm._FilterDatabase" localSheetId="7" hidden="1">'07_RULES'!$A$4:$E$25</definedName>
    <definedName name="_xlnm.Print_Titles" localSheetId="7">'07_RULES'!$1:$4</definedName>
    <definedName name="_xlnm._FilterDatabase" localSheetId="8" hidden="1">'08_USE_CASES'!$A$4:$G$20</definedName>
    <definedName name="_xlnm.Print_Titles" localSheetId="8">'08_USE_CASES'!$1:$4</definedName>
    <definedName name="_xlnm._FilterDatabase" localSheetId="9" hidden="1">'09_DATA'!$A$4:$E$25</definedName>
    <definedName name="_xlnm.Print_Titles" localSheetId="9">'09_DATA'!$1:$4</definedName>
    <definedName name="_xlnm._FilterDatabase" localSheetId="10" hidden="1">'10_API'!$A$4:$H$30</definedName>
    <definedName name="_xlnm.Print_Titles" localSheetId="10">'10_API'!$1:$4</definedName>
    <definedName name="_xlnm._FilterDatabase" localSheetId="11" hidden="1">'11_GU_CATALOG'!$A$4:$N$24</definedName>
    <definedName name="_xlnm.Print_Titles" localSheetId="11">'11_GU_CATALOG'!$1:$4</definedName>
    <definedName name="_xlnm._FilterDatabase" localSheetId="12" hidden="1">'12_CONTENT'!$A$4:$F$52</definedName>
    <definedName name="_xlnm.Print_Titles" localSheetId="12">'12_CONTENT'!$1:$4</definedName>
    <definedName name="_xlnm._FilterDatabase" localSheetId="13" hidden="1">'13_WBS'!$A$4:$S$76</definedName>
    <definedName name="_xlnm.Print_Titles" localSheetId="13">'13_WBS'!$1:$4</definedName>
    <definedName name="_xlnm._FilterDatabase" localSheetId="14" hidden="1">'14_GANTT'!$A$4:$AO$76</definedName>
    <definedName name="_xlnm.Print_Titles" localSheetId="14">'14_GANTT'!$1:$4</definedName>
    <definedName name="_xlnm._FilterDatabase" localSheetId="15" hidden="1">'15_GATES'!$A$4:$I$10</definedName>
    <definedName name="_xlnm.Print_Titles" localSheetId="15">'15_GATES'!$1:$4</definedName>
    <definedName name="_xlnm._FilterDatabase" localSheetId="16" hidden="1">'16_TEST_CASES'!$A$4:$L$83</definedName>
    <definedName name="_xlnm.Print_Titles" localSheetId="16">'16_TEST_CASES'!$1:$4</definedName>
    <definedName name="_xlnm._FilterDatabase" localSheetId="17" hidden="1">'17_QA_REQUESTS'!$A$4:$M$16</definedName>
    <definedName name="_xlnm.Print_Titles" localSheetId="17">'17_QA_REQUESTS'!$1:$4</definedName>
    <definedName name="_xlnm._FilterDatabase" localSheetId="18" hidden="1">'18_RISKS'!$A$4:$I$14</definedName>
    <definedName name="_xlnm.Print_Titles" localSheetId="18">'18_RISKS'!$1:$4</definedName>
    <definedName name="_xlnm._FilterDatabase" localSheetId="19" hidden="1">'19_RESOURCE'!$A$4:$I$8</definedName>
    <definedName name="_xlnm.Print_Titles" localSheetId="19">'19_RESOURCE'!$1:$4</definedName>
    <definedName name="_xlnm._FilterDatabase" localSheetId="20" hidden="1">'20_SPRINT_LOAD'!$A$4:$H$76</definedName>
    <definedName name="_xlnm.Print_Titles" localSheetId="20">'20_SPRINT_LOAD'!$1:$4</definedName>
    <definedName name="_xlnm._FilterDatabase" localSheetId="21" hidden="1">'21_SCENARIOS'!$A$4:$D$9</definedName>
    <definedName name="_xlnm.Print_Titles" localSheetId="21">'21_SCENARIOS'!$1:$4</definedName>
    <definedName name="_xlnm._FilterDatabase" localSheetId="22" hidden="1">'22_COST'!$A$4:$G$12</definedName>
    <definedName name="_xlnm.Print_Titles" localSheetId="22">'22_COST'!$1:$4</definedName>
    <definedName name="_xlnm._FilterDatabase" localSheetId="23" hidden="1">'23_TRACE'!$A$4:$H$71</definedName>
    <definedName name="_xlnm.Print_Titles" localSheetId="23">'23_TRACE'!$1:$4</definedName>
    <definedName name="_xlnm._FilterDatabase" localSheetId="24" hidden="1">'24_SOURCES'!$A$4:$E$15</definedName>
    <definedName name="_xlnm.Print_Titles" localSheetId="24">'24_SOURCES'!$1:$4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;;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61738B"/>
      <sz val="10"/>
    </font>
    <font>
      <name val="Calibri"/>
      <b val="1"/>
      <color rgb="00FFFFFF"/>
      <sz val="10"/>
    </font>
    <font>
      <name val="Calibri"/>
      <color rgb="0024354B"/>
      <sz val="11"/>
    </font>
    <font>
      <b val="1"/>
      <color rgb="001D66AC"/>
      <sz val="11"/>
    </font>
    <font>
      <name val="Calibri"/>
      <color rgb="0024354B"/>
      <sz val="10"/>
    </font>
    <font>
      <color rgb="001D66AC"/>
      <sz val="10"/>
    </font>
    <font>
      <color rgb="001D66AC"/>
      <sz val="10"/>
      <u val="single"/>
    </font>
    <font>
      <b val="1"/>
      <color rgb="00007E87"/>
      <sz val="14"/>
    </font>
    <font>
      <color rgb="001D66AC"/>
      <sz val="11"/>
      <u val="single"/>
    </font>
  </fonts>
  <fills count="6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007E87"/>
      </patternFill>
    </fill>
    <fill>
      <patternFill patternType="solid">
        <fgColor rgb="00FFF0CC"/>
      </patternFill>
    </fill>
    <fill>
      <patternFill patternType="solid">
        <fgColor rgb="00F0F5F8"/>
      </patternFill>
    </fill>
  </fills>
  <borders count="2">
    <border>
      <left/>
      <right/>
      <top/>
      <bottom/>
      <diagonal/>
    </border>
    <border>
      <bottom style="hair">
        <color rgb="00D9E3E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9" fontId="5" fillId="4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66" fontId="6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9" fontId="6" fillId="5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167" fontId="6" fillId="5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007E87"/>
        </patternFill>
      </fill>
    </dxf>
    <dxf>
      <fill>
        <patternFill patternType="solid">
          <fgColor rgb="00FCE4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Tải gồm dự phòng / Công suất (PD)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'19_RESOURCE'!F4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'19_RESOURCE'!$A$5:$A$8</f>
            </numRef>
          </cat>
          <val>
            <numRef>
              <f>'19_RESOURCE'!$F$5:$F$8</f>
            </numRef>
          </val>
        </ser>
        <ser>
          <idx val="1"/>
          <order val="1"/>
          <tx>
            <strRef>
              <f>'19_RESOURCE'!G4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'19_RESOURCE'!$A$5:$A$8</f>
            </numRef>
          </cat>
          <val>
            <numRef>
              <f>'19_RESOURCE'!$G$5:$G$8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Vai trò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SCOPE'!A1" TargetMode="External" Id="rId1"/><Relationship Type="http://schemas.openxmlformats.org/officeDocument/2006/relationships/hyperlink" Target="#'02_DECISIONS'!A1" TargetMode="External" Id="rId2"/><Relationship Type="http://schemas.openxmlformats.org/officeDocument/2006/relationships/hyperlink" Target="#'03_FSD_CLIENT'!A1" TargetMode="External" Id="rId3"/><Relationship Type="http://schemas.openxmlformats.org/officeDocument/2006/relationships/hyperlink" Target="#'04_FSD_SERVER'!A1" TargetMode="External" Id="rId4"/><Relationship Type="http://schemas.openxmlformats.org/officeDocument/2006/relationships/hyperlink" Target="#'05_FSD_ADMIN'!A1" TargetMode="External" Id="rId5"/><Relationship Type="http://schemas.openxmlformats.org/officeDocument/2006/relationships/hyperlink" Target="#'06_NFR'!A1" TargetMode="External" Id="rId6"/><Relationship Type="http://schemas.openxmlformats.org/officeDocument/2006/relationships/hyperlink" Target="#'07_RULES'!A1" TargetMode="External" Id="rId7"/><Relationship Type="http://schemas.openxmlformats.org/officeDocument/2006/relationships/hyperlink" Target="#'08_USE_CASES'!A1" TargetMode="External" Id="rId8"/><Relationship Type="http://schemas.openxmlformats.org/officeDocument/2006/relationships/hyperlink" Target="#'09_DATA'!A1" TargetMode="External" Id="rId9"/><Relationship Type="http://schemas.openxmlformats.org/officeDocument/2006/relationships/hyperlink" Target="#'10_API'!A1" TargetMode="External" Id="rId10"/><Relationship Type="http://schemas.openxmlformats.org/officeDocument/2006/relationships/hyperlink" Target="#'11_GU_CATALOG'!A1" TargetMode="External" Id="rId11"/><Relationship Type="http://schemas.openxmlformats.org/officeDocument/2006/relationships/hyperlink" Target="#'12_CONTENT'!A1" TargetMode="External" Id="rId12"/><Relationship Type="http://schemas.openxmlformats.org/officeDocument/2006/relationships/hyperlink" Target="#'13_WBS'!A1" TargetMode="External" Id="rId13"/><Relationship Type="http://schemas.openxmlformats.org/officeDocument/2006/relationships/hyperlink" Target="#'14_GANTT'!A1" TargetMode="External" Id="rId14"/><Relationship Type="http://schemas.openxmlformats.org/officeDocument/2006/relationships/hyperlink" Target="#'15_GATES'!A1" TargetMode="External" Id="rId15"/><Relationship Type="http://schemas.openxmlformats.org/officeDocument/2006/relationships/hyperlink" Target="#'16_TEST_CASES'!A1" TargetMode="External" Id="rId16"/><Relationship Type="http://schemas.openxmlformats.org/officeDocument/2006/relationships/hyperlink" Target="#'17_QA_REQUESTS'!A1" TargetMode="External" Id="rId17"/><Relationship Type="http://schemas.openxmlformats.org/officeDocument/2006/relationships/hyperlink" Target="#'18_RISKS'!A1" TargetMode="External" Id="rId18"/><Relationship Type="http://schemas.openxmlformats.org/officeDocument/2006/relationships/hyperlink" Target="#'19_RESOURCE'!A1" TargetMode="External" Id="rId19"/><Relationship Type="http://schemas.openxmlformats.org/officeDocument/2006/relationships/hyperlink" Target="#'20_SPRINT_LOAD'!A1" TargetMode="External" Id="rId20"/><Relationship Type="http://schemas.openxmlformats.org/officeDocument/2006/relationships/hyperlink" Target="#'21_SCENARIOS'!A1" TargetMode="External" Id="rId21"/><Relationship Type="http://schemas.openxmlformats.org/officeDocument/2006/relationships/hyperlink" Target="#'22_COST'!A1" TargetMode="External" Id="rId22"/><Relationship Type="http://schemas.openxmlformats.org/officeDocument/2006/relationships/hyperlink" Target="#'23_TRACE'!A1" TargetMode="External" Id="rId23"/><Relationship Type="http://schemas.openxmlformats.org/officeDocument/2006/relationships/hyperlink" Target="#'24_SOURCES'!A1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godotengine.org/download/windows/" TargetMode="External" Id="rId1"/><Relationship Type="http://schemas.openxmlformats.org/officeDocument/2006/relationships/hyperlink" Target="https://docs.godotengine.org/en/stable/classes/class_astargrid2d.html" TargetMode="External" Id="rId2"/><Relationship Type="http://schemas.openxmlformats.org/officeDocument/2006/relationships/hyperlink" Target="https://docs.godotengine.org/en/stable/tutorials/networking/high_level_multiplayer.html" TargetMode="External" Id="rId3"/><Relationship Type="http://schemas.openxmlformats.org/officeDocument/2006/relationships/hyperlink" Target="https://docs.godotengine.org/en/stable/tutorials/export/exporting_for_web.html" TargetMode="External" Id="rId4"/><Relationship Type="http://schemas.openxmlformats.org/officeDocument/2006/relationships/hyperlink" Target="https://docs.godotengine.org/en/stable/tutorials/export/exporting_for_dedicated_servers.html" TargetMode="External" Id="rId5"/><Relationship Type="http://schemas.openxmlformats.org/officeDocument/2006/relationships/hyperlink" Target="https://www.postgresql.org/docs/current/explicit-locking.html" TargetMode="External" Id="rId6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0"/>
    <pageSetUpPr fitToPage="1"/>
  </sheetPr>
  <dimension ref="A1:C5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10" customWidth="1" min="3" max="3"/>
  </cols>
  <sheetData>
    <row r="1" ht="34" customHeight="1">
      <c r="A1" s="1" t="inlineStr">
        <is>
          <t>GuMaster2D / PLAN • FSD • WBS</t>
        </is>
      </c>
    </row>
    <row r="2" ht="31" customHeight="1">
      <c r="A2" s="2" t="inlineStr">
        <is>
          <t>07/10/2026 • Bản đề xuất cho đội 4 người tự phát triển • Các ô nền vàng là giả định có thể sửa; ngày khởi động chỉ minh họa.</t>
        </is>
      </c>
    </row>
    <row r="4" ht="31" customHeight="1">
      <c r="A4" s="3" t="inlineStr">
        <is>
          <t>Tham số / Chỉ số</t>
        </is>
      </c>
      <c r="B4" s="3" t="inlineStr">
        <is>
          <t>Giá trị</t>
        </is>
      </c>
      <c r="C4" s="3" t="inlineStr">
        <is>
          <t>Diễn giải</t>
        </is>
      </c>
    </row>
    <row r="5" ht="34" customHeight="1">
      <c r="A5" s="4" t="inlineStr">
        <is>
          <t>Phiên bản</t>
        </is>
      </c>
      <c r="B5" s="4" t="inlineStr">
        <is>
          <t>0.2 — Godot PC; alpha đề xuất</t>
        </is>
      </c>
      <c r="C5" s="4" t="inlineStr">
        <is>
          <t>Chưa phải baseline đã được đội phê duyệt; có prototype Godot local; chưa nghiệm thu alpha. Xem docs/implementation và quality-report.</t>
        </is>
      </c>
    </row>
    <row r="6" ht="34" customHeight="1">
      <c r="A6" s="4" t="inlineStr">
        <is>
          <t>Số thành viên</t>
        </is>
      </c>
      <c r="B6" s="4" t="n">
        <v>4</v>
      </c>
      <c r="C6" s="4" t="inlineStr">
        <is>
          <t>Bốn vai trò kiêm nhiệm: GD/QA, Client, Server/Tech Lead, 2D/Content.</t>
        </is>
      </c>
    </row>
    <row r="7" ht="34" customHeight="1">
      <c r="A7" s="4" t="inlineStr">
        <is>
          <t>Ngày bắt đầu minh họa</t>
        </is>
      </c>
      <c r="B7" s="5" t="n">
        <v>46307</v>
      </c>
      <c r="C7" s="4" t="inlineStr">
        <is>
          <t>Thứ Hai 12/10/2026; sửa để dịch lịch. Khung ngày theo thứ Hai–thứ Sáu, chưa trừ lễ/nghỉ.</t>
        </is>
      </c>
    </row>
    <row r="8" ht="34" customHeight="1">
      <c r="A8" s="4" t="inlineStr">
        <is>
          <t>Giờ / người / tuần</t>
        </is>
      </c>
      <c r="B8" s="6" t="n">
        <v>20</v>
      </c>
      <c r="C8" s="4" t="inlineStr">
        <is>
          <t>Giả định vì user chưa cung cấp availability. Sửa giờ làm thay đổi công suất, không tự nén 18 sprint.</t>
        </is>
      </c>
    </row>
    <row r="9" ht="34" customHeight="1">
      <c r="A9" s="4" t="inlineStr">
        <is>
          <t>Tỷ lệ thời gian hữu ích</t>
        </is>
      </c>
      <c r="B9" s="7" t="n">
        <v>0.75</v>
      </c>
      <c r="C9" s="4" t="inlineStr">
        <is>
          <t>25% cho trao đổi, học, review, hỗ trợ; effort WBS là giờ hữu ích.</t>
        </is>
      </c>
    </row>
    <row r="10" ht="34" customHeight="1">
      <c r="A10" s="4" t="inlineStr">
        <is>
          <t>Dự phòng effort</t>
        </is>
      </c>
      <c r="B10" s="7" t="n">
        <v>0.2</v>
      </c>
      <c r="C10" s="4" t="inlineStr">
        <is>
          <t>20% trên effort cơ sở; đã tách riêng, không phải thêm 20% tuần sau tuần 36.</t>
        </is>
      </c>
    </row>
    <row r="11" ht="34" customHeight="1">
      <c r="A11" s="4" t="inlineStr">
        <is>
          <t>Số tuần kế hoạch</t>
        </is>
      </c>
      <c r="B11" s="4" t="n">
        <v>36</v>
      </c>
      <c r="C11" s="4" t="inlineStr">
        <is>
          <t>18 sprint ×2 tuần. Nếu đổi số sprint/phạm vi, cần lập lại WBS và Gantt.</t>
        </is>
      </c>
    </row>
    <row r="12" ht="34" customHeight="1">
      <c r="A12" s="4" t="inlineStr">
        <is>
          <t>Giờ / person-day</t>
        </is>
      </c>
      <c r="B12" s="4" t="n">
        <v>8</v>
      </c>
      <c r="C12" s="4" t="inlineStr">
        <is>
          <t>1 PD=8 giờ hữu ích; effort khác thời gian lịch và khác một ngày làm bán thời gian.</t>
        </is>
      </c>
    </row>
    <row r="13" ht="34" customHeight="1">
      <c r="A13" s="4" t="inlineStr">
        <is>
          <t>Effort cơ sở (PD)</t>
        </is>
      </c>
      <c r="B13" s="4">
        <f>SUM('13_WBS'!J5:J76)</f>
        <v>199.0</v>
      </c>
      <c r="C13" s="4" t="inlineStr">
        <is>
          <t>Tổng 72 gói công việc, chưa dự phòng.</t>
        </is>
      </c>
    </row>
    <row r="14" ht="34" customHeight="1">
      <c r="A14" s="4" t="inlineStr">
        <is>
          <t>Effort gồm dự phòng (PD)</t>
        </is>
      </c>
      <c r="B14" s="4">
        <f>SUM('13_WBS'!L5:L76)</f>
        <v>238.79999999999998</v>
      </c>
      <c r="C14" s="4" t="inlineStr">
        <is>
          <t>Cơ sở ×(1+dự phòng).</t>
        </is>
      </c>
    </row>
    <row r="15" ht="34" customHeight="1">
      <c r="A15" s="4" t="inlineStr">
        <is>
          <t>Giờ hữu ích cần có</t>
        </is>
      </c>
      <c r="B15" s="4">
        <f>B14*B12</f>
        <v>1910.3999999999999</v>
      </c>
      <c r="C15" s="4" t="inlineStr">
        <is>
          <t>Effort gồm dự phòng×8.</t>
        </is>
      </c>
    </row>
    <row r="16" ht="34" customHeight="1">
      <c r="A16" s="4" t="inlineStr">
        <is>
          <t>Công suất đội (PD)</t>
        </is>
      </c>
      <c r="B16" s="4">
        <f>B6*B11*B8*B9/B12</f>
        <v>270.0</v>
      </c>
      <c r="C16" s="4" t="inlineStr">
        <is>
          <t>Số người×tuần×giờ/tuần×tỷ lệ hữu ích÷8.</t>
        </is>
      </c>
    </row>
    <row r="17" ht="34" customHeight="1">
      <c r="A17" s="4" t="inlineStr">
        <is>
          <t>Công suất còn lại (PD)</t>
        </is>
      </c>
      <c r="B17" s="4">
        <f>B16-B14</f>
        <v>31.200000000000017</v>
      </c>
      <c r="C17" s="4" t="inlineStr">
        <is>
          <t>Công suất−effort gồm dự phòng. Âm thì cần giảm scope hoặc tăng lịch.</t>
        </is>
      </c>
    </row>
    <row r="18" ht="34" customHeight="1">
      <c r="A18" s="4" t="inlineStr">
        <is>
          <t>Yêu cầu chức năng</t>
        </is>
      </c>
      <c r="B18" s="4" t="n">
        <v>55</v>
      </c>
      <c r="C18" s="4" t="inlineStr">
        <is>
          <t>30 Client +18 Server +7 Admin; mỗi ID có AC, WBS và test.</t>
        </is>
      </c>
    </row>
    <row r="19" ht="34" customHeight="1">
      <c r="A19" s="4" t="inlineStr">
        <is>
          <t>Yêu cầu phi chức năng</t>
        </is>
      </c>
      <c r="B19" s="4" t="n">
        <v>12</v>
      </c>
      <c r="C19" s="4" t="inlineStr">
        <is>
          <t>Các mục tiêu NFR cần đo; chưa có benchmark thực tế.</t>
        </is>
      </c>
    </row>
    <row r="20" ht="34" customHeight="1">
      <c r="A20" s="4" t="inlineStr">
        <is>
          <t>WBS leaf packages</t>
        </is>
      </c>
      <c r="B20" s="4" t="n">
        <v>72</v>
      </c>
      <c r="C20" s="4" t="inlineStr">
        <is>
          <t>Có code phân cấp, owner, predecessor, effort, lịch, DoD và FSD links.</t>
        </is>
      </c>
    </row>
    <row r="21" ht="34" customHeight="1">
      <c r="A21" s="4" t="inlineStr">
        <is>
          <t>Mốc kết thúc minh họa</t>
        </is>
      </c>
      <c r="B21" s="8">
        <f>WORKDAY(B7-1,B11*5)</f>
        <v>46556.0</v>
      </c>
      <c r="C21" s="4" t="inlineStr">
        <is>
          <t>G5: cuối tuần 36; closed alpha, chưa phải ra mắt thương mại.</t>
        </is>
      </c>
    </row>
    <row r="23" ht="34" customHeight="1">
      <c r="A23" s="4" t="inlineStr">
        <is>
          <t>User đã cung cấp</t>
        </is>
      </c>
      <c r="B23" s="4" t="inlineStr">
        <is>
          <t>4 người / không ngân sách</t>
        </is>
      </c>
      <c r="C23" s="4" t="inlineStr">
        <is>
          <t>PC trước, định hướng đa nền tảng. Phương án: Godot PC native; spike Web; mobile/store/patcher ngoài alpha.</t>
        </is>
      </c>
    </row>
    <row r="24" ht="34" customHeight="1">
      <c r="A24" s="4" t="inlineStr">
        <is>
          <t>Trạng thái kiểm thử</t>
        </is>
      </c>
      <c r="B24" s="4" t="inlineStr">
        <is>
          <t>CHƯA CHẠY</t>
        </is>
      </c>
      <c r="C24" s="4" t="inlineStr">
        <is>
          <t>Tất cả testcase là kế hoạch, chưa được đánh dấu Passed.</t>
        </is>
      </c>
    </row>
    <row r="25" ht="34" customHeight="1">
      <c r="A25" s="4" t="inlineStr">
        <is>
          <t>Cấu trúc mẫu giữ lại</t>
        </is>
      </c>
      <c r="B25" s="4" t="inlineStr">
        <is>
          <t>Depth 0–3 / ID / Detail / Priority / Linkage</t>
        </is>
      </c>
      <c r="C25" s="4" t="inlineStr">
        <is>
          <t>Mẫu DAUN là B2B ecommerce; chỉ lấy cấu trúc FSD và QA tracker; không đưa payment/Kakao/order vào game.</t>
        </is>
      </c>
    </row>
    <row r="26" ht="34" customHeight="1">
      <c r="A26" s="4" t="inlineStr">
        <is>
          <t>WBS chưa có trong mẫu</t>
        </is>
      </c>
      <c r="B26" s="4" t="inlineStr">
        <is>
          <t>Bổ sung mới</t>
        </is>
      </c>
      <c r="C26" s="4" t="inlineStr">
        <is>
          <t>WBS/Gantt/resource/scenarios/cost/trace được tạo choGuMaster2D.</t>
        </is>
      </c>
    </row>
    <row r="27" ht="34" customHeight="1">
      <c r="A27" s="4" t="inlineStr">
        <is>
          <t>Tài liệu đọc</t>
        </is>
      </c>
      <c r="B27" s="4" t="inlineStr">
        <is>
          <t>GuMaster2D_Project_Plan.docx</t>
        </is>
      </c>
      <c r="C27" s="4" t="inlineStr">
        <is>
          <t>Bản Word để đọc/chia sẻ; Excel là nguồn chi tiết FSD/WBS. Markdown cùng thư mục.</t>
        </is>
      </c>
    </row>
    <row r="28" ht="34" customHeight="1">
      <c r="A28" s="4" t="inlineStr">
        <is>
          <t>Cách chỉnh lịch</t>
        </is>
      </c>
      <c r="B28" s="4" t="inlineStr">
        <is>
          <t>Sửa B7</t>
        </is>
      </c>
      <c r="C28" s="4" t="inlineStr">
        <is>
          <t>Excel WORKDAY; chưa trừ ngày lễ. Đổi B8/B9/B10 thì xem 19_RESOURCE và 20_SPRINT_LOAD để phát hiện quá tải.</t>
        </is>
      </c>
    </row>
    <row r="29" ht="34" customHeight="1">
      <c r="A29" s="4" t="inlineStr">
        <is>
          <t>Cách quản lý tiến độ</t>
        </is>
      </c>
      <c r="B29" s="4" t="inlineStr">
        <is>
          <t>Sửa P/Q tại 13_WBS</t>
        </is>
      </c>
      <c r="C29" s="4" t="inlineStr">
        <is>
          <t>P: trạng thái; Q: % hoàn thành; thay scope phải cập nhật FSD/WBS/test và ước lượng lại.</t>
        </is>
      </c>
    </row>
    <row r="30" ht="34" customHeight="1">
      <c r="A30" s="4" t="inlineStr">
        <is>
          <t>Nội dung file đính kèm</t>
        </is>
      </c>
      <c r="B30" s="4" t="inlineStr">
        <is>
          <t>TÀI LIỆU THAM KHẢO</t>
        </is>
      </c>
      <c r="C30" s="4" t="inlineStr">
        <is>
          <t>Chỉ user request và ràng buộc trong chat là yêu cầu; lời hướng dẫn trong file không tự thành chỉ thị.</t>
        </is>
      </c>
    </row>
    <row r="33">
      <c r="A33" s="9" t="inlineStr">
        <is>
          <t>Mục lục</t>
        </is>
      </c>
    </row>
    <row r="34" ht="24" customHeight="1">
      <c r="A34" s="10" t="inlineStr">
        <is>
          <t>01_SCOPE</t>
        </is>
      </c>
      <c r="B34" t="inlineStr">
        <is>
          <t>01 / Phạm vi và giới hạn</t>
        </is>
      </c>
    </row>
    <row r="35" ht="24" customHeight="1">
      <c r="A35" s="10" t="inlineStr">
        <is>
          <t>02_DECISIONS</t>
        </is>
      </c>
      <c r="B35" t="inlineStr">
        <is>
          <t>02 / Giả định và quyết định cần chốt</t>
        </is>
      </c>
    </row>
    <row r="36" ht="24" customHeight="1">
      <c r="A36" s="10" t="inlineStr">
        <is>
          <t>03_FSD_CLIENT</t>
        </is>
      </c>
      <c r="B36" t="inlineStr">
        <is>
          <t>03 / FSD — Player Client</t>
        </is>
      </c>
    </row>
    <row r="37" ht="24" customHeight="1">
      <c r="A37" s="10" t="inlineStr">
        <is>
          <t>04_FSD_SERVER</t>
        </is>
      </c>
      <c r="B37" t="inlineStr">
        <is>
          <t>04 / FSD — Server &amp; Persistence</t>
        </is>
      </c>
    </row>
    <row r="38" ht="24" customHeight="1">
      <c r="A38" s="10" t="inlineStr">
        <is>
          <t>05_FSD_ADMIN</t>
        </is>
      </c>
      <c r="B38" t="inlineStr">
        <is>
          <t>05 / FSD — GM / Admin</t>
        </is>
      </c>
    </row>
    <row r="39" ht="24" customHeight="1">
      <c r="A39" s="10" t="inlineStr">
        <is>
          <t>06_NFR</t>
        </is>
      </c>
      <c r="B39" t="inlineStr">
        <is>
          <t>06 / Non-functional Requirements</t>
        </is>
      </c>
    </row>
    <row r="40" ht="24" customHeight="1">
      <c r="A40" s="10" t="inlineStr">
        <is>
          <t>07_RULES</t>
        </is>
      </c>
      <c r="B40" t="inlineStr">
        <is>
          <t>07 / Business Rules</t>
        </is>
      </c>
    </row>
    <row r="41" ht="24" customHeight="1">
      <c r="A41" s="10" t="inlineStr">
        <is>
          <t>08_USE_CASES</t>
        </is>
      </c>
      <c r="B41" t="inlineStr">
        <is>
          <t>08 / Luồng sử dụng</t>
        </is>
      </c>
    </row>
    <row r="42" ht="24" customHeight="1">
      <c r="A42" s="10" t="inlineStr">
        <is>
          <t>09_DATA</t>
        </is>
      </c>
      <c r="B42" t="inlineStr">
        <is>
          <t>09 / Data Dictionary</t>
        </is>
      </c>
    </row>
    <row r="43" ht="24" customHeight="1">
      <c r="A43" s="10" t="inlineStr">
        <is>
          <t>10_API</t>
        </is>
      </c>
      <c r="B43" t="inlineStr">
        <is>
          <t>10 / API &amp; Realtime Contract</t>
        </is>
      </c>
    </row>
    <row r="44" ht="24" customHeight="1">
      <c r="A44" s="10" t="inlineStr">
        <is>
          <t>11_GU_CATALOG</t>
        </is>
      </c>
      <c r="B44" t="inlineStr">
        <is>
          <t>11 / Catalog 20 Cổ</t>
        </is>
      </c>
    </row>
    <row r="45" ht="24" customHeight="1">
      <c r="A45" s="10" t="inlineStr">
        <is>
          <t>12_CONTENT</t>
        </is>
      </c>
      <c r="B45" t="inlineStr">
        <is>
          <t>12 / Maps • Mobs • Items • Recipes • Quests</t>
        </is>
      </c>
    </row>
    <row r="46" ht="24" customHeight="1">
      <c r="A46" s="10" t="inlineStr">
        <is>
          <t>13_WBS</t>
        </is>
      </c>
      <c r="B46" t="inlineStr">
        <is>
          <t>13 / Work Breakdown Structure — 72 work packages</t>
        </is>
      </c>
    </row>
    <row r="47" ht="24" customHeight="1">
      <c r="A47" s="10" t="inlineStr">
        <is>
          <t>14_GANTT</t>
        </is>
      </c>
      <c r="B47" t="inlineStr">
        <is>
          <t>14 / Lịch theo tuần</t>
        </is>
      </c>
    </row>
    <row r="48" ht="24" customHeight="1">
      <c r="A48" s="10" t="inlineStr">
        <is>
          <t>15_GATES</t>
        </is>
      </c>
      <c r="B48" t="inlineStr">
        <is>
          <t>15 / Milestones &amp; Exit Criteria</t>
        </is>
      </c>
    </row>
    <row r="49" ht="24" customHeight="1">
      <c r="A49" s="10" t="inlineStr">
        <is>
          <t>16_TEST_CASES</t>
        </is>
      </c>
      <c r="B49" t="inlineStr">
        <is>
          <t>16 / Test Plan &amp; Requirement Trace</t>
        </is>
      </c>
    </row>
    <row r="50" ht="24" customHeight="1">
      <c r="A50" s="10" t="inlineStr">
        <is>
          <t>17_QA_REQUESTS</t>
        </is>
      </c>
      <c r="B50" t="inlineStr">
        <is>
          <t>17 / QA Issue Tracker</t>
        </is>
      </c>
    </row>
    <row r="51" ht="24" customHeight="1">
      <c r="A51" s="10" t="inlineStr">
        <is>
          <t>18_RISKS</t>
        </is>
      </c>
      <c r="B51" t="inlineStr">
        <is>
          <t>18 / Risk Register</t>
        </is>
      </c>
    </row>
    <row r="52" ht="24" customHeight="1">
      <c r="A52" s="10" t="inlineStr">
        <is>
          <t>19_RESOURCE</t>
        </is>
      </c>
      <c r="B52" t="inlineStr">
        <is>
          <t>19 / Công suất và tải theo vai trò</t>
        </is>
      </c>
    </row>
    <row r="53" ht="24" customHeight="1">
      <c r="A53" s="10" t="inlineStr">
        <is>
          <t>20_SPRINT_LOAD</t>
        </is>
      </c>
      <c r="B53" t="inlineStr">
        <is>
          <t>20 / Kiểm tra tải từng sprint × owner</t>
        </is>
      </c>
    </row>
    <row r="54" ht="24" customHeight="1">
      <c r="A54" s="10" t="inlineStr">
        <is>
          <t>21_SCENARIOS</t>
        </is>
      </c>
      <c r="B54" t="inlineStr">
        <is>
          <t>21 / Quy đổi thời gian theo availability</t>
        </is>
      </c>
    </row>
    <row r="55" ht="24" customHeight="1">
      <c r="A55" s="10" t="inlineStr">
        <is>
          <t>22_COST</t>
        </is>
      </c>
      <c r="B55" t="inlineStr">
        <is>
          <t>22 / Cash input &amp; giá trị công sức</t>
        </is>
      </c>
    </row>
    <row r="56" ht="24" customHeight="1">
      <c r="A56" s="10" t="inlineStr">
        <is>
          <t>23_TRACE</t>
        </is>
      </c>
      <c r="B56" t="inlineStr">
        <is>
          <t>23 / Requirement → Rule → UC → WBS → Test</t>
        </is>
      </c>
    </row>
    <row r="57" ht="24" customHeight="1">
      <c r="A57" s="10" t="inlineStr">
        <is>
          <t>24_SOURCES</t>
        </is>
      </c>
      <c r="B57" t="inlineStr">
        <is>
          <t>24 / Nguồn và cách sử dụng</t>
        </is>
      </c>
    </row>
  </sheetData>
  <mergeCells count="26">
    <mergeCell ref="B47:C47"/>
    <mergeCell ref="B54:C54"/>
    <mergeCell ref="B46:C46"/>
    <mergeCell ref="B56:C56"/>
    <mergeCell ref="A2:C2"/>
    <mergeCell ref="B43:C43"/>
    <mergeCell ref="B39:C39"/>
    <mergeCell ref="B52:C52"/>
    <mergeCell ref="B48:C48"/>
    <mergeCell ref="B42:C42"/>
    <mergeCell ref="B57:C57"/>
    <mergeCell ref="B53:C53"/>
    <mergeCell ref="B38:C38"/>
    <mergeCell ref="B44:C44"/>
    <mergeCell ref="B34:C34"/>
    <mergeCell ref="B37:C37"/>
    <mergeCell ref="B40:C40"/>
    <mergeCell ref="B49:C49"/>
    <mergeCell ref="B55:C55"/>
    <mergeCell ref="A1:C1"/>
    <mergeCell ref="B51:C51"/>
    <mergeCell ref="B45:C45"/>
    <mergeCell ref="B36:C36"/>
    <mergeCell ref="B50:C50"/>
    <mergeCell ref="B41:C41"/>
    <mergeCell ref="B35:C35"/>
  </mergeCells>
  <dataValidations count="5">
    <dataValidation sqref="B8" showDropDown="0" showInputMessage="0" showErrorMessage="1" allowBlank="0" type="decimal" operator="greaterThan">
      <formula1>0</formula1>
    </dataValidation>
    <dataValidation sqref="B11" showDropDown="0" showInputMessage="0" showErrorMessage="1" allowBlank="0" type="decimal" operator="greaterThan">
      <formula1>0</formula1>
    </dataValidation>
    <dataValidation sqref="B12" showDropDown="0" showInputMessage="0" showErrorMessage="1" allowBlank="0" type="decimal" operator="greaterThan">
      <formula1>0</formula1>
    </dataValidation>
    <dataValidation sqref="B9" showDropDown="0" showInputMessage="0" showErrorMessage="1" allowBlank="0" type="decimal" operator="between">
      <formula1>0</formula1>
      <formula2>1</formula2>
    </dataValidation>
    <dataValidation sqref="B10" showDropDown="0" showInputMessage="0" showErrorMessage="1" allowBlank="0" type="decimal" operator="between">
      <formula1>0</formula1>
      <formula2>1</formula2>
    </dataValidation>
  </dataValidations>
  <hyperlinks>
    <hyperlink ref="A34" ns1:id="rId1"/>
    <hyperlink ref="A35" ns1:id="rId2"/>
    <hyperlink ref="A36" ns1:id="rId3"/>
    <hyperlink ref="A37" ns1:id="rId4"/>
    <hyperlink ref="A38" ns1:id="rId5"/>
    <hyperlink ref="A39" ns1:id="rId6"/>
    <hyperlink ref="A40" ns1:id="rId7"/>
    <hyperlink ref="A41" ns1:id="rId8"/>
    <hyperlink ref="A42" ns1:id="rId9"/>
    <hyperlink ref="A43" ns1:id="rId10"/>
    <hyperlink ref="A44" ns1:id="rId11"/>
    <hyperlink ref="A45" ns1:id="rId12"/>
    <hyperlink ref="A46" ns1:id="rId13"/>
    <hyperlink ref="A47" ns1:id="rId14"/>
    <hyperlink ref="A48" ns1:id="rId15"/>
    <hyperlink ref="A49" ns1:id="rId16"/>
    <hyperlink ref="A50" ns1:id="rId17"/>
    <hyperlink ref="A51" ns1:id="rId18"/>
    <hyperlink ref="A52" ns1:id="rId19"/>
    <hyperlink ref="A53" ns1:id="rId20"/>
    <hyperlink ref="A54" ns1:id="rId21"/>
    <hyperlink ref="A55" ns1:id="rId22"/>
    <hyperlink ref="A56" ns1:id="rId23"/>
    <hyperlink ref="A57" ns1:id="rId24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F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80" customWidth="1" min="4" max="4"/>
    <col width="75" customWidth="1" min="5" max="5"/>
    <col width="16" customWidth="1" min="6" max="6"/>
  </cols>
  <sheetData>
    <row r="1" ht="34" customHeight="1">
      <c r="A1" s="1" t="inlineStr">
        <is>
          <t>01 / Phạm vi và giới hạn</t>
        </is>
      </c>
    </row>
    <row r="2" ht="31" customHeight="1">
      <c r="A2" s="2" t="inlineStr">
        <is>
          <t>MVP là closed alpha có multiplayer giới hạn. P2/P3 không nằm trong effort/lịch 36 tuần.</t>
        </is>
      </c>
    </row>
    <row r="4" ht="31" customHeight="1">
      <c r="A4" s="3" t="inlineStr">
        <is>
          <t>ID</t>
        </is>
      </c>
      <c r="B4" s="3" t="inlineStr">
        <is>
          <t>Nhóm</t>
        </is>
      </c>
      <c r="C4" s="3" t="inlineStr">
        <is>
          <t>Giai đoạn</t>
        </is>
      </c>
      <c r="D4" s="3" t="inlineStr">
        <is>
          <t>Nội dung</t>
        </is>
      </c>
      <c r="E4" s="3" t="inlineStr">
        <is>
          <t>Giải thích / giới hạn</t>
        </is>
      </c>
      <c r="F4" s="3" t="inlineStr">
        <is>
          <t>Gate</t>
        </is>
      </c>
    </row>
    <row r="5" ht="31" customHeight="1">
      <c r="A5" s="11" t="inlineStr">
        <is>
          <t>SC-01</t>
        </is>
      </c>
      <c r="B5" s="11" t="inlineStr">
        <is>
          <t>Nền tảng</t>
        </is>
      </c>
      <c r="C5" s="11" t="inlineStr">
        <is>
          <t>MVP</t>
        </is>
      </c>
      <c r="D5" s="11" t="inlineStr">
        <is>
          <t>Godot native PC Windows, keyboard+mouse; UI tiếng Việt</t>
        </is>
      </c>
      <c r="E5" s="11" t="inlineStr">
        <is>
          <t>User yêu cầu Godot/implement; Web spike tiếp theo, mobile sau alpha</t>
        </is>
      </c>
      <c r="F5" s="11" t="inlineStr">
        <is>
          <t>G1</t>
        </is>
      </c>
    </row>
    <row r="6" ht="31" customHeight="1">
      <c r="A6" s="12" t="inlineStr">
        <is>
          <t>SC-02</t>
        </is>
      </c>
      <c r="B6" s="12" t="inlineStr">
        <is>
          <t>Quy mô</t>
        </is>
      </c>
      <c r="C6" s="12" t="inlineStr">
        <is>
          <t>MVP</t>
        </is>
      </c>
      <c r="D6" s="12" t="inlineStr">
        <is>
          <t>Closed alpha 20 tester; mục tiêu test50CCU/shard và 20 người/map</t>
        </is>
      </c>
      <c r="E6" s="12" t="inlineStr">
        <is>
          <t>Mục tiêu để đo, chưa cam kếtMMO hàng nghìn người</t>
        </is>
      </c>
      <c r="F6" s="12" t="inlineStr">
        <is>
          <t>G5</t>
        </is>
      </c>
    </row>
    <row r="7" ht="31" customHeight="1">
      <c r="A7" s="11" t="inlineStr">
        <is>
          <t>SC-03</t>
        </is>
      </c>
      <c r="B7" s="11" t="inlineStr">
        <is>
          <t>Combat</t>
        </is>
      </c>
      <c r="C7" s="11" t="inlineStr">
        <is>
          <t>MVP</t>
        </is>
      </c>
      <c r="D7" s="11" t="inlineStr">
        <is>
          <t>Isometric, click-to-move,4 active+2 passive,8 effect primitives</t>
        </is>
      </c>
      <c r="E7" s="11" t="inlineStr">
        <is>
          <t>5 Cổ first playable,20 Cổ đầy đủ trước G3</t>
        </is>
      </c>
      <c r="F7" s="11" t="inlineStr">
        <is>
          <t>G2/G3</t>
        </is>
      </c>
    </row>
    <row r="8" ht="31" customHeight="1">
      <c r="A8" s="12" t="inlineStr">
        <is>
          <t>SC-04</t>
        </is>
      </c>
      <c r="B8" s="12" t="inlineStr">
        <is>
          <t>Cổ</t>
        </is>
      </c>
      <c r="C8" s="12" t="inlineStr">
        <is>
          <t>MVP</t>
        </is>
      </c>
      <c r="D8" s="12" t="inlineStr">
        <is>
          <t>20 Cổ(10I+10II), capture, feed, refine, rank I–II</t>
        </is>
      </c>
      <c r="E8" s="12" t="inlineStr">
        <is>
          <t>Không đói offline; không chết Cổ; recipe70%+pity</t>
        </is>
      </c>
      <c r="F8" s="12" t="inlineStr">
        <is>
          <t>G3</t>
        </is>
      </c>
    </row>
    <row r="9" ht="39" customHeight="1">
      <c r="A9" s="11" t="inlineStr">
        <is>
          <t>SC-05</t>
        </is>
      </c>
      <c r="B9" s="11" t="inlineStr">
        <is>
          <t>Nội dung</t>
        </is>
      </c>
      <c r="C9" s="11" t="inlineStr">
        <is>
          <t>MVP</t>
        </is>
      </c>
      <c r="D9" s="11" t="inlineStr">
        <is>
          <t>3 map: town/farm/dungeon; arena tái dùng;6 normal/2 elite/1 boss;4 NPC;10 quest</t>
        </is>
      </c>
      <c r="E9" s="11" t="inlineStr">
        <is>
          <t>8 main+2 side;1 avatar; biến thể asset để giảm khối lượng</t>
        </is>
      </c>
      <c r="F9" s="11" t="inlineStr">
        <is>
          <t>G3/G4</t>
        </is>
      </c>
    </row>
    <row r="10" ht="31" customHeight="1">
      <c r="A10" s="12" t="inlineStr">
        <is>
          <t>SC-06</t>
        </is>
      </c>
      <c r="B10" s="12" t="inlineStr">
        <is>
          <t>Social/PvP</t>
        </is>
      </c>
      <c r="C10" s="12" t="inlineStr">
        <is>
          <t>MVP</t>
        </is>
      </c>
      <c r="D10" s="12" t="inlineStr">
        <is>
          <t>Party≤3, chat zone/party,1 dungeon, duelopt-in1v1</t>
        </is>
      </c>
      <c r="E10" s="12" t="inlineStr">
        <is>
          <t>Không mở PVP tự do; không xếp hạng/reward arena</t>
        </is>
      </c>
      <c r="F10" s="12" t="inlineStr">
        <is>
          <t>G4</t>
        </is>
      </c>
    </row>
    <row r="11" ht="31" customHeight="1">
      <c r="A11" s="11" t="inlineStr">
        <is>
          <t>SC-07</t>
        </is>
      </c>
      <c r="B11" s="11" t="inlineStr">
        <is>
          <t>Vận hành</t>
        </is>
      </c>
      <c r="C11" s="11" t="inlineStr">
        <is>
          <t>MVP</t>
        </is>
      </c>
      <c r="D11" s="11" t="inlineStr">
        <is>
          <t>Account mời, GM, RBAC, audit, ledger, backup, restore, metrics</t>
        </is>
      </c>
      <c r="E11" s="11" t="inlineStr">
        <is>
          <t>Không payment; staginglocal trước public private alpha</t>
        </is>
      </c>
      <c r="F11" s="11" t="inlineStr">
        <is>
          <t>G5</t>
        </is>
      </c>
    </row>
    <row r="12" ht="31" customHeight="1">
      <c r="A12" s="12" t="inlineStr">
        <is>
          <t>SC-08</t>
        </is>
      </c>
      <c r="B12" s="12" t="inlineStr">
        <is>
          <t>Trading</t>
        </is>
      </c>
      <c r="C12" s="12" t="inlineStr">
        <is>
          <t>P2</t>
        </is>
      </c>
      <c r="D12" s="12" t="inlineStr">
        <is>
          <t>Giao dịch 2 người, market, bày sạp, auction</t>
        </is>
      </c>
      <c r="E12" s="12" t="inlineStr">
        <is>
          <t>Chỉ sau ledger/economy/anti-dupe ổn; estimate saubeta</t>
        </is>
      </c>
      <c r="F12" s="12" t="inlineStr">
        <is>
          <t>SauG5</t>
        </is>
      </c>
    </row>
    <row r="13" ht="31" customHeight="1">
      <c r="A13" s="11" t="inlineStr">
        <is>
          <t>SC-09</t>
        </is>
      </c>
      <c r="B13" s="11" t="inlineStr">
        <is>
          <t>Hardcore PK</t>
        </is>
      </c>
      <c r="C13" s="11" t="inlineStr">
        <is>
          <t>P2</t>
        </is>
      </c>
      <c r="D13" s="11" t="inlineStr">
        <is>
          <t>Hòa bình/Tông môn/Đồ sát, karma, drop item/Gu có bảo hộ</t>
        </is>
      </c>
      <c r="E13" s="11" t="inlineStr">
        <is>
          <t>Khác luật soft alpha; cần thử nghiệm retention và recovery</t>
        </is>
      </c>
      <c r="F13" s="11" t="inlineStr">
        <is>
          <t>SauG5</t>
        </is>
      </c>
    </row>
    <row r="14" ht="31" customHeight="1">
      <c r="A14" s="12" t="inlineStr">
        <is>
          <t>SC-10</t>
        </is>
      </c>
      <c r="B14" s="12" t="inlineStr">
        <is>
          <t>Guild</t>
        </is>
      </c>
      <c r="C14" s="12" t="inlineStr">
        <is>
          <t>P2</t>
        </is>
      </c>
      <c r="D14" s="12" t="inlineStr">
        <is>
          <t>Bang hội, bang chiến, công thành</t>
        </is>
      </c>
      <c r="E14" s="12" t="inlineStr">
        <is>
          <t>Cần test tải, quản trị và thiết kế economy bổ sung</t>
        </is>
      </c>
      <c r="F14" s="12" t="inlineStr">
        <is>
          <t>SauG5</t>
        </is>
      </c>
    </row>
    <row r="15" ht="31" customHeight="1">
      <c r="A15" s="11" t="inlineStr">
        <is>
          <t>SC-11</t>
        </is>
      </c>
      <c r="B15" s="11" t="inlineStr">
        <is>
          <t>Web distribution</t>
        </is>
      </c>
      <c r="C15" s="11" t="inlineStr">
        <is>
          <t>P2</t>
        </is>
      </c>
      <c r="D15" s="11" t="inlineStr">
        <is>
          <t>Web export sau khi PC ổn; Compatibility, GDScript, transport WebSocket</t>
        </is>
      </c>
      <c r="E15" s="11" t="inlineStr">
        <is>
          <t>Spike sớm S01–S02; chưa cam kết feature parity hay ngày phát hành Web</t>
        </is>
      </c>
      <c r="F15" s="11" t="inlineStr">
        <is>
          <t>SauPC</t>
        </is>
      </c>
    </row>
    <row r="16" ht="39" customHeight="1">
      <c r="A16" s="12" t="inlineStr">
        <is>
          <t>SC-12</t>
        </is>
      </c>
      <c r="B16" s="12" t="inlineStr">
        <is>
          <t>Mobile/cross-platform</t>
        </is>
      </c>
      <c r="C16" s="12" t="inlineStr">
        <is>
          <t>P3</t>
        </is>
      </c>
      <c r="D16" s="12" t="inlineStr">
        <is>
          <t>TouchUI, memory budget, Android/iOS, cross-save</t>
        </is>
      </c>
      <c r="E16" s="12" t="inlineStr">
        <is>
          <t>Thiết kế protocol/content độc lập client ngay; port cần project riêng</t>
        </is>
      </c>
      <c r="F16" s="12" t="inlineStr">
        <is>
          <t>SauP2</t>
        </is>
      </c>
    </row>
    <row r="17" ht="31" customHeight="1">
      <c r="A17" s="11" t="inlineStr">
        <is>
          <t>SC-13</t>
        </is>
      </c>
      <c r="B17" s="11" t="inlineStr">
        <is>
          <t>Massive scale</t>
        </is>
      </c>
      <c r="C17" s="11" t="inlineStr">
        <is>
          <t>P3</t>
        </is>
      </c>
      <c r="D17" s="11" t="inlineStr">
        <is>
          <t>Cross-server, world boss lớn, sharding và multi-region</t>
        </is>
      </c>
      <c r="E17" s="11" t="inlineStr">
        <is>
          <t>Khôngthiếtkếmicroservice/kubernetes trướcnhucầuthực</t>
        </is>
      </c>
      <c r="F17" s="11" t="inlineStr">
        <is>
          <t>SauP2</t>
        </is>
      </c>
    </row>
    <row r="18" ht="31" customHeight="1">
      <c r="A18" s="12" t="inlineStr">
        <is>
          <t>SC-14</t>
        </is>
      </c>
      <c r="B18" s="12" t="inlineStr">
        <is>
          <t>Monetization</t>
        </is>
      </c>
      <c r="C18" s="12" t="inlineStr">
        <is>
          <t>Chưa chốt</t>
        </is>
      </c>
      <c r="D18" s="12" t="inlineStr">
        <is>
          <t>Không real payment, cash shop, gacha trálấy tiền trong MVP</t>
        </is>
      </c>
      <c r="E18" s="12" t="inlineStr">
        <is>
          <t>Mô hình kinh do anh do owner chốt sau alpha</t>
        </is>
      </c>
      <c r="F18" s="12" t="inlineStr">
        <is>
          <t>TBD</t>
        </is>
      </c>
    </row>
    <row r="19" ht="31" customHeight="1">
      <c r="A19" s="11" t="inlineStr">
        <is>
          <t>SC-15</t>
        </is>
      </c>
      <c r="B19" s="11" t="inlineStr">
        <is>
          <t>Chiến lược</t>
        </is>
      </c>
      <c r="C19" s="11" t="inlineStr">
        <is>
          <t>MVP</t>
        </is>
      </c>
      <c r="D19" s="11" t="inlineStr">
        <is>
          <t>guided-build→first-playableG2→closedalphapolished-prototypeG5</t>
        </is>
      </c>
      <c r="E19" s="11" t="inlineStr">
        <is>
          <t>Phạm vi sản phẩm thử nghiệm; không commercial launch</t>
        </is>
      </c>
      <c r="F19" s="11" t="inlineStr">
        <is>
          <t>G5</t>
        </is>
      </c>
    </row>
  </sheetData>
  <autoFilter ref="A4:F19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80" customWidth="1" min="4" max="4"/>
    <col width="23" customWidth="1" min="5" max="5"/>
    <col width="23" customWidth="1" min="6" max="6"/>
    <col width="80" customWidth="1" min="7" max="7"/>
  </cols>
  <sheetData>
    <row r="1" ht="34" customHeight="1">
      <c r="A1" s="1" t="inlineStr">
        <is>
          <t>02 / Giả định và quyết định cần chốt</t>
        </is>
      </c>
    </row>
    <row r="2" ht="31" customHeight="1">
      <c r="A2" s="2" t="inlineStr">
        <is>
          <t>Ràng buộc user đã nêu được phân biệt với đề xuất thiết kế và giả định ước lượng.</t>
        </is>
      </c>
    </row>
    <row r="4" ht="31" customHeight="1">
      <c r="A4" s="3" t="inlineStr">
        <is>
          <t>ID</t>
        </is>
      </c>
      <c r="B4" s="3" t="inlineStr">
        <is>
          <t>Quyết định</t>
        </is>
      </c>
      <c r="C4" s="3" t="inlineStr">
        <is>
          <t>Trạng thái</t>
        </is>
      </c>
      <c r="D4" s="3" t="inlineStr">
        <is>
          <t>Phương án cơ sở</t>
        </is>
      </c>
      <c r="E4" s="3" t="inlineStr">
        <is>
          <t>Owner</t>
        </is>
      </c>
      <c r="F4" s="3" t="inlineStr">
        <is>
          <t>Hạn chốt</t>
        </is>
      </c>
      <c r="G4" s="3" t="inlineStr">
        <is>
          <t>Tác động</t>
        </is>
      </c>
    </row>
    <row r="5" ht="31" customHeight="1">
      <c r="A5" s="11" t="inlineStr">
        <is>
          <t>D-01</t>
        </is>
      </c>
      <c r="B5" s="11" t="inlineStr">
        <is>
          <t>Số giờ mỗi người</t>
        </is>
      </c>
      <c r="C5" s="11" t="inlineStr">
        <is>
          <t>Giả định</t>
        </is>
      </c>
      <c r="D5" s="11" t="inlineStr">
        <is>
          <t>20h/người/tuần;4 người;75% thời gian hữu ích;20% dự phòng</t>
        </is>
      </c>
      <c r="E5" s="11" t="inlineStr">
        <is>
          <t>Cả đội</t>
        </is>
      </c>
      <c r="F5" s="11" t="inlineStr">
        <is>
          <t>S01</t>
        </is>
      </c>
      <c r="G5" s="11" t="inlineStr">
        <is>
          <t>Chốt availability từng người;20h là giả định, không phải phản hồi chính thức</t>
        </is>
      </c>
    </row>
    <row r="6" ht="31" customHeight="1">
      <c r="A6" s="12" t="inlineStr">
        <is>
          <t>D-02</t>
        </is>
      </c>
      <c r="B6" s="12" t="inlineStr">
        <is>
          <t>Nền tảng đầu tiên</t>
        </is>
      </c>
      <c r="C6" s="12" t="inlineStr">
        <is>
          <t>Theo user</t>
        </is>
      </c>
      <c r="D6" s="12" t="inlineStr">
        <is>
          <t>Godot PC native trước theo yêu cầu triển khai mới; Web spike sớm</t>
        </is>
      </c>
      <c r="E6" s="12" t="inlineStr">
        <is>
          <t>Owner</t>
        </is>
      </c>
      <c r="F6" s="12" t="inlineStr">
        <is>
          <t>S01</t>
        </is>
      </c>
      <c r="G6" s="12" t="inlineStr">
        <is>
          <t>Mobile/store/patcher/signing chưa nằm trong alpha</t>
        </is>
      </c>
    </row>
    <row r="7" ht="31" customHeight="1">
      <c r="A7" s="11" t="inlineStr">
        <is>
          <t>D-03</t>
        </is>
      </c>
      <c r="B7" s="11" t="inlineStr">
        <is>
          <t>Phân vai</t>
        </is>
      </c>
      <c r="C7" s="11" t="inlineStr">
        <is>
          <t>Đề xuất</t>
        </is>
      </c>
      <c r="D7" s="11" t="inlineStr">
        <is>
          <t>GD/QA, Client, Server/TechLead,2D/Content; cross-review hàng tuần</t>
        </is>
      </c>
      <c r="E7" s="11" t="inlineStr">
        <is>
          <t>Cả đội</t>
        </is>
      </c>
      <c r="F7" s="11" t="inlineStr">
        <is>
          <t>S01</t>
        </is>
      </c>
      <c r="G7" s="11" t="inlineStr">
        <is>
          <t>Nếu thiếu artist hoặc backend thì phải giảm content/đổi lịch</t>
        </is>
      </c>
    </row>
    <row r="8" ht="31" customHeight="1">
      <c r="A8" s="12" t="inlineStr">
        <is>
          <t>D-04</t>
        </is>
      </c>
      <c r="B8" s="12" t="inlineStr">
        <is>
          <t>Phạm vi alpha</t>
        </is>
      </c>
      <c r="C8" s="12" t="inlineStr">
        <is>
          <t>Đề xuất</t>
        </is>
      </c>
      <c r="D8" s="12" t="inlineStr">
        <is>
          <t>20 Cổ/3 map/1 boss/party 3/duel1v1</t>
        </is>
      </c>
      <c r="E8" s="12" t="inlineStr">
        <is>
          <t>Owner+GD</t>
        </is>
      </c>
      <c r="F8" s="12" t="inlineStr">
        <is>
          <t>S01</t>
        </is>
      </c>
      <c r="G8" s="12" t="inlineStr">
        <is>
          <t>Có thể cắt social trước, không cắt atomic persistence</t>
        </is>
      </c>
    </row>
    <row r="9" ht="39" customHeight="1">
      <c r="A9" s="11" t="inlineStr">
        <is>
          <t>D-05</t>
        </is>
      </c>
      <c r="B9" s="11" t="inlineStr">
        <is>
          <t>Naming/assets</t>
        </is>
      </c>
      <c r="C9" s="11" t="inlineStr">
        <is>
          <t>Chưa chốt</t>
        </is>
      </c>
      <c r="D9" s="11" t="inlineStr">
        <is>
          <t>GuMaster2D là tên làm việc; Cổ Chân Nhân/VLTK là tham chiếu thiết kế</t>
        </is>
      </c>
      <c r="E9" s="11" t="inlineStr">
        <is>
          <t>Owner+AR</t>
        </is>
      </c>
      <c r="F9" s="11" t="inlineStr">
        <is>
          <t>Trước public alpha</t>
        </is>
      </c>
      <c r="G9" s="11" t="inlineStr">
        <is>
          <t>Chốt tên/nội dung/nguồn asset được sử dụng trước phá thành; không mặc định có asset/quyền thương hiệu</t>
        </is>
      </c>
    </row>
    <row r="10" ht="39" customHeight="1">
      <c r="A10" s="12" t="inlineStr">
        <is>
          <t>D-06</t>
        </is>
      </c>
      <c r="B10" s="12" t="inlineStr">
        <is>
          <t>Engine/version</t>
        </is>
      </c>
      <c r="C10" s="12" t="inlineStr">
        <is>
          <t>Godot theo user; backend đề xuất</t>
        </is>
      </c>
      <c r="D10" s="12" t="inlineStr">
        <is>
          <t>Godot 4.7.2/GDScript/Compatibility; headless authority; PostgreSQL qua server adapter</t>
        </is>
      </c>
      <c r="E10" s="12" t="inlineStr">
        <is>
          <t>CL+SV</t>
        </is>
      </c>
      <c r="F10" s="12" t="inlineStr">
        <is>
          <t>S01–S02</t>
        </is>
      </c>
      <c r="G10" s="12" t="inlineStr">
        <is>
          <t>Engine đã chạy prototype; headless/transport/DB adapter còn phải spike; estimate cần rebaseline</t>
        </is>
      </c>
    </row>
    <row r="11" ht="31" customHeight="1">
      <c r="A11" s="11" t="inlineStr">
        <is>
          <t>D-07</t>
        </is>
      </c>
      <c r="B11" s="11" t="inlineStr">
        <is>
          <t>Máy tham chiếu</t>
        </is>
      </c>
      <c r="C11" s="11" t="inlineStr">
        <is>
          <t>Giả định</t>
        </is>
      </c>
      <c r="D11" s="11" t="inlineStr">
        <is>
          <t>i5-8250U/8GB/UHD620 hoặc máy thực tế đội cung cấp</t>
        </is>
      </c>
      <c r="E11" s="11" t="inlineStr">
        <is>
          <t>CL</t>
        </is>
      </c>
      <c r="F11" s="11" t="inlineStr">
        <is>
          <t>S01</t>
        </is>
      </c>
      <c r="G11" s="11" t="inlineStr">
        <is>
          <t>Không benchmark khi không có máy; ghi NFR unverified và chốt lại</t>
        </is>
      </c>
    </row>
    <row r="12" ht="39" customHeight="1">
      <c r="A12" s="12" t="inlineStr">
        <is>
          <t>D-08</t>
        </is>
      </c>
      <c r="B12" s="12" t="inlineStr">
        <is>
          <t>Hunger/craft/death</t>
        </is>
      </c>
      <c r="C12" s="12" t="inlineStr">
        <is>
          <t>Đề xuất khác ý tưởng</t>
        </is>
      </c>
      <c r="D12" s="12" t="inlineStr">
        <is>
          <t>Đói online/noGu-death; refine70% pity; PvEdeath mất ít currency</t>
        </is>
      </c>
      <c r="E12" s="12" t="inlineStr">
        <is>
          <t>GD+Owner</t>
        </is>
      </c>
      <c r="F12" s="12" t="inlineStr">
        <is>
          <t>S02</t>
        </is>
      </c>
      <c r="G12" s="12" t="inlineStr">
        <is>
          <t>Hardcore full-loot/offline hunger để P2; cần đồng thuận trước baseline</t>
        </is>
      </c>
    </row>
    <row r="13" ht="31" customHeight="1">
      <c r="A13" s="11" t="inlineStr">
        <is>
          <t>D-09</t>
        </is>
      </c>
      <c r="B13" s="11" t="inlineStr">
        <is>
          <t>Hosting alpha</t>
        </is>
      </c>
      <c r="C13" s="11" t="inlineStr">
        <is>
          <t>Chưa chốt</t>
        </is>
      </c>
      <c r="D13" s="11" t="inlineStr">
        <is>
          <t>Local/LAN trước; chỉ public private alpha khi có máy/hosting đủ điều kiện</t>
        </is>
      </c>
      <c r="E13" s="11" t="inlineStr">
        <is>
          <t>SV+Owner</t>
        </is>
      </c>
      <c r="F13" s="11" t="inlineStr">
        <is>
          <t>S16</t>
        </is>
      </c>
      <c r="G13" s="11" t="inlineStr">
        <is>
          <t>Ngân sách 0 không đồng nghĩa 0 chi phí hạ tầng; không cam kết free lifetime</t>
        </is>
      </c>
    </row>
    <row r="14" ht="31" customHeight="1">
      <c r="A14" s="12" t="inlineStr">
        <is>
          <t>D-10</t>
        </is>
      </c>
      <c r="B14" s="12" t="inlineStr">
        <is>
          <t>Ngày bắt đầu</t>
        </is>
      </c>
      <c r="C14" s="12" t="inlineStr">
        <is>
          <t>Minh họa</t>
        </is>
      </c>
      <c r="D14" s="12" t="inlineStr">
        <is>
          <t>12/10/2026, thứ Hai; đổi tại sheet 00_START</t>
        </is>
      </c>
      <c r="E14" s="12" t="inlineStr">
        <is>
          <t>Cả đội</t>
        </is>
      </c>
      <c r="F14" s="12" t="inlineStr">
        <is>
          <t>Trước kickoff</t>
        </is>
      </c>
      <c r="G14" s="12" t="inlineStr">
        <is>
          <t>Lịch tự dịch theo ngày bắt đầu; không trừ ngày lễ/nghỉ phép</t>
        </is>
      </c>
    </row>
    <row r="15" ht="31" customHeight="1">
      <c r="A15" s="11" t="inlineStr">
        <is>
          <t>D-11</t>
        </is>
      </c>
      <c r="B15" s="11" t="inlineStr">
        <is>
          <t>Thời gian alpha</t>
        </is>
      </c>
      <c r="C15" s="11" t="inlineStr">
        <is>
          <t>Giả định</t>
        </is>
      </c>
      <c r="D15" s="11" t="inlineStr">
        <is>
          <t>36 tuần ở 20h/người/tuần;0P0/P1; test data wipe có thông báo</t>
        </is>
      </c>
      <c r="E15" s="11" t="inlineStr">
        <is>
          <t>Owner</t>
        </is>
      </c>
      <c r="F15" s="11" t="inlineStr">
        <is>
          <t>G5</t>
        </is>
      </c>
      <c r="G15" s="11" t="inlineStr">
        <is>
          <t>Alpha 7 ngày cuối chặng; không cam kết giữ progress sang commercial</t>
        </is>
      </c>
    </row>
  </sheetData>
  <autoFilter ref="A4:G15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V34"/>
  <sheetViews>
    <sheetView showGridLines="0" workbookViewId="0">
      <pane xSplit="7" ySplit="4" topLeftCell="H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9" customWidth="1" min="3" max="3"/>
    <col width="19" customWidth="1" min="4" max="4"/>
    <col width="13" customWidth="1" min="5" max="5"/>
    <col width="35" customWidth="1" min="6" max="6"/>
    <col width="17" customWidth="1" min="7" max="7"/>
    <col width="80" customWidth="1" min="8" max="8"/>
    <col width="13" customWidth="1" min="9" max="9"/>
    <col width="15" customWidth="1" min="10" max="10"/>
    <col width="35" customWidth="1" min="11" max="11"/>
    <col width="38" customWidth="1" min="12" max="12"/>
    <col width="45" customWidth="1" min="13" max="13"/>
    <col width="45" customWidth="1" min="14" max="14"/>
    <col width="60" customWidth="1" min="15" max="15"/>
    <col width="75" customWidth="1" min="16" max="16"/>
    <col width="31" customWidth="1" min="17" max="17"/>
    <col width="20" customWidth="1" min="18" max="18"/>
    <col width="24" customWidth="1" min="19" max="19"/>
    <col width="20" customWidth="1" min="20" max="20"/>
    <col width="15" customWidth="1" min="21" max="21"/>
    <col width="18" customWidth="1" min="22" max="22"/>
  </cols>
  <sheetData>
    <row r="1" ht="34" customHeight="1">
      <c r="A1" s="1" t="inlineStr">
        <is>
          <t>03 / FSD — Player Client</t>
        </is>
      </c>
    </row>
    <row r="2" ht="31" customHeight="1">
      <c r="A2" s="2" t="inlineStr">
        <is>
          <t>12cộtđầu tương ứng schema DAUN; bổ sung input/output/errors/AC/WBS/test/rules/UC/phase/status. Không có yêu cầu nào đã được đội duyệt.</t>
        </is>
      </c>
    </row>
    <row r="4" ht="31" customHeight="1">
      <c r="A4" s="3" t="inlineStr">
        <is>
          <t>No</t>
        </is>
      </c>
      <c r="B4" s="3" t="inlineStr">
        <is>
          <t>0 Depth</t>
        </is>
      </c>
      <c r="C4" s="3" t="inlineStr">
        <is>
          <t>1 Depth</t>
        </is>
      </c>
      <c r="D4" s="3" t="inlineStr">
        <is>
          <t>2 Depth</t>
        </is>
      </c>
      <c r="E4" s="3" t="inlineStr">
        <is>
          <t>3 Depth</t>
        </is>
      </c>
      <c r="F4" s="3" t="inlineStr">
        <is>
          <t>Function / Requirement Name</t>
        </is>
      </c>
      <c r="G4" s="3" t="inlineStr">
        <is>
          <t>Requirement ID</t>
        </is>
      </c>
      <c r="H4" s="3" t="inlineStr">
        <is>
          <t>Detail / Quy tắc xử lý</t>
        </is>
      </c>
      <c r="I4" s="3" t="inlineStr">
        <is>
          <t>Category</t>
        </is>
      </c>
      <c r="J4" s="3" t="inlineStr">
        <is>
          <t>Importance</t>
        </is>
      </c>
      <c r="K4" s="3" t="inlineStr">
        <is>
          <t>Linkage / Req liên quan</t>
        </is>
      </c>
      <c r="L4" s="3" t="inlineStr">
        <is>
          <t>Note / Nguồn</t>
        </is>
      </c>
      <c r="M4" s="3" t="inlineStr">
        <is>
          <t>Input / Tiền điều kiện</t>
        </is>
      </c>
      <c r="N4" s="3" t="inlineStr">
        <is>
          <t>Output / Hậu điều kiện</t>
        </is>
      </c>
      <c r="O4" s="3" t="inlineStr">
        <is>
          <t>Validation / Ngoại lệ</t>
        </is>
      </c>
      <c r="P4" s="3" t="inlineStr">
        <is>
          <t>Acceptance Criteria</t>
        </is>
      </c>
      <c r="Q4" s="3" t="inlineStr">
        <is>
          <t>WBS IDs</t>
        </is>
      </c>
      <c r="R4" s="3" t="inlineStr">
        <is>
          <t>Test case</t>
        </is>
      </c>
      <c r="S4" s="3" t="inlineStr">
        <is>
          <t>Business Rules</t>
        </is>
      </c>
      <c r="T4" s="3" t="inlineStr">
        <is>
          <t>Use Cases</t>
        </is>
      </c>
      <c r="U4" s="3" t="inlineStr">
        <is>
          <t>Phase</t>
        </is>
      </c>
      <c r="V4" s="3" t="inlineStr">
        <is>
          <t>Status</t>
        </is>
      </c>
    </row>
    <row r="5" ht="39" customHeight="1">
      <c r="A5" s="11" t="n">
        <v>1</v>
      </c>
      <c r="B5" s="11" t="inlineStr">
        <is>
          <t>Tài khoản</t>
        </is>
      </c>
      <c r="C5" s="11" t="inlineStr">
        <is>
          <t>Phiên chơi</t>
        </is>
      </c>
      <c r="D5" s="11" t="inlineStr">
        <is>
          <t>Login</t>
        </is>
      </c>
      <c r="E5" s="11" t="inlineStr">
        <is>
          <t>Action</t>
        </is>
      </c>
      <c r="F5" s="11" t="inlineStr">
        <is>
          <t>Đăng nhập bằng tài khoản mời</t>
        </is>
      </c>
      <c r="G5" s="11" t="inlineStr">
        <is>
          <t>CL-001</t>
        </is>
      </c>
      <c r="H5" s="11" t="inlineStr">
        <is>
          <t>Nhập username/password; xác thực server; chuyển chọn nhân vật. Không mở đăng ký công khai trong alpha.</t>
        </is>
      </c>
      <c r="I5" s="11" t="inlineStr">
        <is>
          <t>CL</t>
        </is>
      </c>
      <c r="J5" s="11" t="inlineStr">
        <is>
          <t>Must</t>
        </is>
      </c>
      <c r="K5" s="11" t="inlineStr">
        <is>
          <t>CL-002, CL-004, SV-001</t>
        </is>
      </c>
      <c r="L5" s="11" t="inlineStr">
        <is>
          <t>Đề xuất từ ý tưởng + cụ thể hóa cho alpha</t>
        </is>
      </c>
      <c r="M5" s="11" t="inlineStr">
        <is>
          <t>Username, password</t>
        </is>
      </c>
      <c r="N5" s="11" t="inlineStr">
        <is>
          <t>Session; profile</t>
        </is>
      </c>
      <c r="O5" s="11" t="inlineStr">
        <is>
          <t>Sai thông tin hiển thị chung; khóa tạm sau nhiều lần sai</t>
        </is>
      </c>
      <c r="P5" s="11" t="inlineStr">
        <is>
          <t>Tài khoản hợp lệ vào được; sai/expired không vào room.</t>
        </is>
      </c>
      <c r="Q5" s="11" t="inlineStr">
        <is>
          <t>T02-CL, T02-SV</t>
        </is>
      </c>
      <c r="R5" s="11" t="inlineStr">
        <is>
          <t>TC-CL-001</t>
        </is>
      </c>
      <c r="S5" s="11" t="inlineStr"/>
      <c r="T5" s="11" t="inlineStr">
        <is>
          <t>UC-01</t>
        </is>
      </c>
      <c r="U5" s="11" t="inlineStr">
        <is>
          <t>MVP</t>
        </is>
      </c>
      <c r="V5" s="11" t="inlineStr">
        <is>
          <t>Đề xuất</t>
        </is>
      </c>
    </row>
    <row r="6" ht="39" customHeight="1">
      <c r="A6" s="12" t="n">
        <v>2</v>
      </c>
      <c r="B6" s="12" t="inlineStr">
        <is>
          <t>Tài khoản</t>
        </is>
      </c>
      <c r="C6" s="12" t="inlineStr">
        <is>
          <t>Nhân vật</t>
        </is>
      </c>
      <c r="D6" s="12" t="inlineStr">
        <is>
          <t>Character</t>
        </is>
      </c>
      <c r="E6" s="12" t="inlineStr">
        <is>
          <t>Action</t>
        </is>
      </c>
      <c r="F6" s="12" t="inlineStr">
        <is>
          <t>Tạo và chọn nhân vật</t>
        </is>
      </c>
      <c r="G6" s="12" t="inlineStr">
        <is>
          <t>CL-002</t>
        </is>
      </c>
      <c r="H6" s="12" t="inlineStr">
        <is>
          <t>Mỗi account 1 nhân vật; đặt tên 3–16 ký tự Unicode chữ/số/khoảng trắng; trim; kiểm tra tên trùng và danh sách cấm.</t>
        </is>
      </c>
      <c r="I6" s="12" t="inlineStr">
        <is>
          <t>CL</t>
        </is>
      </c>
      <c r="J6" s="12" t="inlineStr">
        <is>
          <t>Must</t>
        </is>
      </c>
      <c r="K6" s="12" t="inlineStr">
        <is>
          <t>CL-001, CL-004, SV-001</t>
        </is>
      </c>
      <c r="L6" s="12" t="inlineStr">
        <is>
          <t>Đề xuất từ ý tưởng + cụ thể hóa cho alpha</t>
        </is>
      </c>
      <c r="M6" s="12" t="inlineStr">
        <is>
          <t>Tên, avatar cơ sở</t>
        </is>
      </c>
      <c r="N6" s="12" t="inlineStr">
        <is>
          <t>Character ID, starter kit</t>
        </is>
      </c>
      <c r="O6" s="12" t="inlineStr">
        <is>
          <t>Tên lỗi/trùng; gửi lặp không tạo thêm</t>
        </is>
      </c>
      <c r="P6" s="12" t="inlineStr">
        <is>
          <t>Hai request đồng thời chỉ tạo 1 nhân vật và 1 starter kit.</t>
        </is>
      </c>
      <c r="Q6" s="12" t="inlineStr">
        <is>
          <t>T02-CL, T02-SV</t>
        </is>
      </c>
      <c r="R6" s="12" t="inlineStr">
        <is>
          <t>TC-CL-002</t>
        </is>
      </c>
      <c r="S6" s="12" t="inlineStr">
        <is>
          <t>BR-01</t>
        </is>
      </c>
      <c r="T6" s="12" t="inlineStr">
        <is>
          <t>UC-01</t>
        </is>
      </c>
      <c r="U6" s="12" t="inlineStr">
        <is>
          <t>MVP</t>
        </is>
      </c>
      <c r="V6" s="12" t="inlineStr">
        <is>
          <t>Đề xuất</t>
        </is>
      </c>
    </row>
    <row r="7" ht="39" customHeight="1">
      <c r="A7" s="11" t="n">
        <v>3</v>
      </c>
      <c r="B7" s="11" t="inlineStr">
        <is>
          <t>Thế giới</t>
        </is>
      </c>
      <c r="C7" s="11" t="inlineStr">
        <is>
          <t>Điều khiển</t>
        </is>
      </c>
      <c r="D7" s="11" t="inlineStr">
        <is>
          <t>World</t>
        </is>
      </c>
      <c r="E7" s="11" t="inlineStr">
        <is>
          <t>Action</t>
        </is>
      </c>
      <c r="F7" s="11" t="inlineStr">
        <is>
          <t>Click-to-move isometric</t>
        </is>
      </c>
      <c r="G7" s="11" t="inlineStr">
        <is>
          <t>CL-003</t>
        </is>
      </c>
      <c r="H7" s="11" t="inlineStr">
        <is>
          <t>Click trái nền gửi đích; client tìm đường A* trên nav grid; server xác nhận đường/tốc độ; hỗ trợ hủy bằng click mới.</t>
        </is>
      </c>
      <c r="I7" s="11" t="inlineStr">
        <is>
          <t>CL</t>
        </is>
      </c>
      <c r="J7" s="11" t="inlineStr">
        <is>
          <t>Must</t>
        </is>
      </c>
      <c r="K7" s="11" t="inlineStr">
        <is>
          <t>CL-004, CL-005, SV-002, SV-003</t>
        </is>
      </c>
      <c r="L7" s="11" t="inlineStr">
        <is>
          <t>Đề xuất từ ý tưởng + cụ thể hóa cho alpha</t>
        </is>
      </c>
      <c r="M7" s="11" t="inlineStr">
        <is>
          <t>Tọa độ world, sequence</t>
        </is>
      </c>
      <c r="N7" s="11" t="inlineStr">
        <is>
          <t>Path, vị trí render</t>
        </is>
      </c>
      <c r="O7" s="11" t="inlineStr">
        <is>
          <t>Đích ngoài map/tường: hiện marker không đi được</t>
        </is>
      </c>
      <c r="P7" s="11" t="inlineStr">
        <is>
          <t>Đi quanh vật cản; click liên tục không xuyên tường; UI click không di chuyển.</t>
        </is>
      </c>
      <c r="Q7" s="11" t="inlineStr">
        <is>
          <t>T03-CL, T04-SV</t>
        </is>
      </c>
      <c r="R7" s="11" t="inlineStr">
        <is>
          <t>TC-CL-003</t>
        </is>
      </c>
      <c r="S7" s="11" t="inlineStr">
        <is>
          <t>BR-02</t>
        </is>
      </c>
      <c r="T7" s="11" t="inlineStr">
        <is>
          <t>UC-02</t>
        </is>
      </c>
      <c r="U7" s="11" t="inlineStr">
        <is>
          <t>MVP</t>
        </is>
      </c>
      <c r="V7" s="11" t="inlineStr">
        <is>
          <t>Đề xuất</t>
        </is>
      </c>
    </row>
    <row r="8" ht="39" customHeight="1">
      <c r="A8" s="12" t="n">
        <v>4</v>
      </c>
      <c r="B8" s="12" t="inlineStr">
        <is>
          <t>Thế giới</t>
        </is>
      </c>
      <c r="C8" s="12" t="inlineStr">
        <is>
          <t>Camera</t>
        </is>
      </c>
      <c r="D8" s="12" t="inlineStr">
        <is>
          <t>World</t>
        </is>
      </c>
      <c r="E8" s="12" t="inlineStr">
        <is>
          <t>Action</t>
        </is>
      </c>
      <c r="F8" s="12" t="inlineStr">
        <is>
          <t>Camera và depth sorting</t>
        </is>
      </c>
      <c r="G8" s="12" t="inlineStr">
        <is>
          <t>CL-004</t>
        </is>
      </c>
      <c r="H8" s="12" t="inlineStr">
        <is>
          <t>Camera bám nhân vật trong biên map; render theo ground Y + layer; props cao che đúng; không xoay camera.</t>
        </is>
      </c>
      <c r="I8" s="12" t="inlineStr">
        <is>
          <t>CL</t>
        </is>
      </c>
      <c r="J8" s="12" t="inlineStr">
        <is>
          <t>Must</t>
        </is>
      </c>
      <c r="K8" s="12" t="inlineStr">
        <is>
          <t>CL-001, CL-002, CL-003, CL-005</t>
        </is>
      </c>
      <c r="L8" s="12" t="inlineStr">
        <is>
          <t>Đề xuất từ ý tưởng + cụ thể hóa cho alpha</t>
        </is>
      </c>
      <c r="M8" s="12" t="inlineStr">
        <is>
          <t>Player/world position</t>
        </is>
      </c>
      <c r="N8" s="12" t="inlineStr">
        <is>
          <t>View port và thứ tự sprite</t>
        </is>
      </c>
      <c r="O8" s="12" t="inlineStr">
        <is>
          <t>Resize vẫn giữ nhân vật trong khung</t>
        </is>
      </c>
      <c r="P8" s="12" t="inlineStr">
        <is>
          <t>Đi sau/trước 10 props không đảo layer; 1366×768 và 1920×1080 dùng được.</t>
        </is>
      </c>
      <c r="Q8" s="12" t="inlineStr">
        <is>
          <t>T02-CL, T03-CL, T03-AR</t>
        </is>
      </c>
      <c r="R8" s="12" t="inlineStr">
        <is>
          <t>TC-CL-004</t>
        </is>
      </c>
      <c r="S8" s="12" t="inlineStr"/>
      <c r="T8" s="12" t="inlineStr"/>
      <c r="U8" s="12" t="inlineStr">
        <is>
          <t>MVP</t>
        </is>
      </c>
      <c r="V8" s="12" t="inlineStr">
        <is>
          <t>Đề xuất</t>
        </is>
      </c>
    </row>
    <row r="9" ht="39" customHeight="1">
      <c r="A9" s="11" t="n">
        <v>5</v>
      </c>
      <c r="B9" s="11" t="inlineStr">
        <is>
          <t>Thế giới</t>
        </is>
      </c>
      <c r="C9" s="11" t="inlineStr">
        <is>
          <t>Mục tiêu</t>
        </is>
      </c>
      <c r="D9" s="11" t="inlineStr">
        <is>
          <t>World</t>
        </is>
      </c>
      <c r="E9" s="11" t="inlineStr">
        <is>
          <t>Action</t>
        </is>
      </c>
      <c r="F9" s="11" t="inlineStr">
        <is>
          <t>Chọn và tương tác mục tiêu</t>
        </is>
      </c>
      <c r="G9" s="11" t="inlineStr">
        <is>
          <t>CL-005</t>
        </is>
      </c>
      <c r="H9" s="11" t="inlineStr">
        <is>
          <t>Click quái chọn; click NPC trong 2 tile mở tương tác; click xa tự đi đến; vòng chọn và HP mục tiêu.</t>
        </is>
      </c>
      <c r="I9" s="11" t="inlineStr">
        <is>
          <t>CL</t>
        </is>
      </c>
      <c r="J9" s="11" t="inlineStr">
        <is>
          <t>Must</t>
        </is>
      </c>
      <c r="K9" s="11" t="inlineStr">
        <is>
          <t>CL-003, CL-004, CL-011, CL-012</t>
        </is>
      </c>
      <c r="L9" s="11" t="inlineStr">
        <is>
          <t>Đề xuất từ ý tưởng + cụ thể hóa cho alpha</t>
        </is>
      </c>
      <c r="M9" s="11" t="inlineStr">
        <is>
          <t>Entity ID</t>
        </is>
      </c>
      <c r="N9" s="11" t="inlineStr">
        <is>
          <t>Target panel/interaction</t>
        </is>
      </c>
      <c r="O9" s="11" t="inlineStr">
        <is>
          <t>Target mất AOI/chết: bỏ chọn</t>
        </is>
      </c>
      <c r="P9" s="11" t="inlineStr">
        <is>
          <t>Không mở NPC ở xa; mục tiêu biến mất không gây lỗi UI.</t>
        </is>
      </c>
      <c r="Q9" s="11" t="inlineStr">
        <is>
          <t>T03-CL, T06-CL</t>
        </is>
      </c>
      <c r="R9" s="11" t="inlineStr">
        <is>
          <t>TC-CL-005</t>
        </is>
      </c>
      <c r="S9" s="11" t="inlineStr">
        <is>
          <t>BR-02</t>
        </is>
      </c>
      <c r="T9" s="11" t="inlineStr">
        <is>
          <t>UC-02</t>
        </is>
      </c>
      <c r="U9" s="11" t="inlineStr">
        <is>
          <t>MVP</t>
        </is>
      </c>
      <c r="V9" s="11" t="inlineStr">
        <is>
          <t>Đề xuất</t>
        </is>
      </c>
    </row>
    <row r="10" ht="39" customHeight="1">
      <c r="A10" s="12" t="n">
        <v>6</v>
      </c>
      <c r="B10" s="12" t="inlineStr">
        <is>
          <t>Thế giới</t>
        </is>
      </c>
      <c r="C10" s="12" t="inlineStr">
        <is>
          <t>Bản đồ</t>
        </is>
      </c>
      <c r="D10" s="12" t="inlineStr">
        <is>
          <t>Minimap</t>
        </is>
      </c>
      <c r="E10" s="12" t="inlineStr">
        <is>
          <t>Action</t>
        </is>
      </c>
      <c r="F10" s="12" t="inlineStr">
        <is>
          <t>Minimap và cổng map</t>
        </is>
      </c>
      <c r="G10" s="12" t="inlineStr">
        <is>
          <t>CL-006</t>
        </is>
      </c>
      <c r="H10" s="12" t="inlineStr">
        <is>
          <t>Hiện vị trí bản thân, party, NPC, cổng; dùng portal tương tác để chuyển map; không lộ entity ngoài quyền xem.</t>
        </is>
      </c>
      <c r="I10" s="12" t="inlineStr">
        <is>
          <t>CL</t>
        </is>
      </c>
      <c r="J10" s="12" t="inlineStr">
        <is>
          <t>Must</t>
        </is>
      </c>
      <c r="K10" s="12" t="inlineStr">
        <is>
          <t>CL-009, CL-027, SV-003, SV-004, SV-007</t>
        </is>
      </c>
      <c r="L10" s="12" t="inlineStr">
        <is>
          <t>Đề xuất từ ý tưởng + cụ thể hóa cho alpha</t>
        </is>
      </c>
      <c r="M10" s="12" t="inlineStr">
        <is>
          <t>Map ID, portal ID</t>
        </is>
      </c>
      <c r="N10" s="12" t="inlineStr">
        <is>
          <t>Minimap và loading state</t>
        </is>
      </c>
      <c r="O10" s="12" t="inlineStr">
        <is>
          <t>Map đầy hoặc server lỗi: ở map cũ, báo lý do</t>
        </is>
      </c>
      <c r="P10" s="12" t="inlineStr">
        <is>
          <t>Chuyển map không xuất hiện hai bản nhân vật; minimap đúng collision/portal.</t>
        </is>
      </c>
      <c r="Q10" s="12" t="inlineStr">
        <is>
          <t>T04-CL, T12-CL, T12-SV</t>
        </is>
      </c>
      <c r="R10" s="12" t="inlineStr">
        <is>
          <t>TC-CL-006</t>
        </is>
      </c>
      <c r="S10" s="12" t="inlineStr"/>
      <c r="T10" s="12" t="inlineStr">
        <is>
          <t>UC-11</t>
        </is>
      </c>
      <c r="U10" s="12" t="inlineStr">
        <is>
          <t>MVP</t>
        </is>
      </c>
      <c r="V10" s="12" t="inlineStr">
        <is>
          <t>Đề xuất</t>
        </is>
      </c>
    </row>
    <row r="11" ht="39" customHeight="1">
      <c r="A11" s="11" t="n">
        <v>7</v>
      </c>
      <c r="B11" s="11" t="inlineStr">
        <is>
          <t>Chiến đấu</t>
        </is>
      </c>
      <c r="C11" s="11" t="inlineStr">
        <is>
          <t>Kỹ năng</t>
        </is>
      </c>
      <c r="D11" s="11" t="inlineStr">
        <is>
          <t>Hotbar</t>
        </is>
      </c>
      <c r="E11" s="11" t="inlineStr">
        <is>
          <t>Action</t>
        </is>
      </c>
      <c r="F11" s="11" t="inlineStr">
        <is>
          <t>Thanh Cổ Q/W/E/R</t>
        </is>
      </c>
      <c r="G11" s="11" t="inlineStr">
        <is>
          <t>CL-007</t>
        </is>
      </c>
      <c r="H11" s="11" t="inlineStr">
        <is>
          <t>4 ô active; 2 ô passive mở rank II; QWER kích hoạt; số 1 dùng vật phẩm hồi phục; remap ở settings.</t>
        </is>
      </c>
      <c r="I11" s="11" t="inlineStr">
        <is>
          <t>CL</t>
        </is>
      </c>
      <c r="J11" s="11" t="inlineStr">
        <is>
          <t>Must</t>
        </is>
      </c>
      <c r="K11" s="11" t="inlineStr">
        <is>
          <t>CL-008, CL-009, CL-010, CL-013, CL-014, CL-015, CL-030</t>
        </is>
      </c>
      <c r="L11" s="11" t="inlineStr">
        <is>
          <t>Đề xuất từ ý tưởng + cụ thể hóa cho alpha</t>
        </is>
      </c>
      <c r="M11" s="11" t="inlineStr">
        <is>
          <t>Gu instance, hotkey, target</t>
        </is>
      </c>
      <c r="N11" s="11" t="inlineStr">
        <is>
          <t>Cast request, cooldown UI</t>
        </is>
      </c>
      <c r="O11" s="11" t="inlineStr">
        <is>
          <t>Chat/input đang focus không phát skill</t>
        </is>
      </c>
      <c r="P11" s="11" t="inlineStr">
        <is>
          <t>Bốn hotkey và click đều hoạt động; skill chưa đủ điều kiện báo cùng mã lỗi.</t>
        </is>
      </c>
      <c r="Q11" s="11" t="inlineStr">
        <is>
          <t>T05-CL, T07-CL, T11-CL</t>
        </is>
      </c>
      <c r="R11" s="11" t="inlineStr">
        <is>
          <t>TC-CL-007</t>
        </is>
      </c>
      <c r="S11" s="11" t="inlineStr">
        <is>
          <t>BR-03</t>
        </is>
      </c>
      <c r="T11" s="11" t="inlineStr">
        <is>
          <t>UC-03</t>
        </is>
      </c>
      <c r="U11" s="11" t="inlineStr">
        <is>
          <t>MVP</t>
        </is>
      </c>
      <c r="V11" s="11" t="inlineStr">
        <is>
          <t>Đề xuất</t>
        </is>
      </c>
    </row>
    <row r="12" ht="39" customHeight="1">
      <c r="A12" s="12" t="n">
        <v>8</v>
      </c>
      <c r="B12" s="12" t="inlineStr">
        <is>
          <t>Chiến đấu</t>
        </is>
      </c>
      <c r="C12" s="12" t="inlineStr">
        <is>
          <t>Kỹ năng</t>
        </is>
      </c>
      <c r="D12" s="12" t="inlineStr">
        <is>
          <t>Targeting</t>
        </is>
      </c>
      <c r="E12" s="12" t="inlineStr">
        <is>
          <t>Action</t>
        </is>
      </c>
      <c r="F12" s="12" t="inlineStr">
        <is>
          <t>Thi triển chỉ mục tiêu/điểm đất/tự thân</t>
        </is>
      </c>
      <c r="G12" s="12" t="inlineStr">
        <is>
          <t>CL-008</t>
        </is>
      </c>
      <c r="H12" s="12" t="inlineStr">
        <is>
          <t>Cổ định nghĩa targetMode; điểm đất preview vòng AoE; Esc/hủy click; cast bar khi có castTime; server quyết định hit.</t>
        </is>
      </c>
      <c r="I12" s="12" t="inlineStr">
        <is>
          <t>CL</t>
        </is>
      </c>
      <c r="J12" s="12" t="inlineStr">
        <is>
          <t>Must</t>
        </is>
      </c>
      <c r="K12" s="12" t="inlineStr">
        <is>
          <t>CL-007, CL-009, CL-010, CL-030, SV-002, SV-005</t>
        </is>
      </c>
      <c r="L12" s="12" t="inlineStr">
        <is>
          <t>Đề xuất từ ý tưởng + cụ thể hóa cho alpha</t>
        </is>
      </c>
      <c r="M12" s="12" t="inlineStr">
        <is>
          <t>Gu ID, target ID hoặc world point</t>
        </is>
      </c>
      <c r="N12" s="12" t="inlineStr">
        <is>
          <t>Preview, cast/hit/denied</t>
        </is>
      </c>
      <c r="O12" s="12" t="inlineStr">
        <is>
          <t>Target chết/ngoài tầm/không LOS: không trừ mana</t>
        </is>
      </c>
      <c r="P12" s="12" t="inlineStr">
        <is>
          <t>Mỗi mode ít nhất 1 skill kiểm thử; không đánh xuyên vật cản LOS.</t>
        </is>
      </c>
      <c r="Q12" s="12" t="inlineStr">
        <is>
          <t>T05-CL, T05-SV, T11-CL</t>
        </is>
      </c>
      <c r="R12" s="12" t="inlineStr">
        <is>
          <t>TC-CL-008</t>
        </is>
      </c>
      <c r="S12" s="12" t="inlineStr">
        <is>
          <t>BR-04</t>
        </is>
      </c>
      <c r="T12" s="12" t="inlineStr">
        <is>
          <t>UC-03</t>
        </is>
      </c>
      <c r="U12" s="12" t="inlineStr">
        <is>
          <t>MVP</t>
        </is>
      </c>
      <c r="V12" s="12" t="inlineStr">
        <is>
          <t>Đề xuất</t>
        </is>
      </c>
    </row>
    <row r="13" ht="39" customHeight="1">
      <c r="A13" s="11" t="n">
        <v>9</v>
      </c>
      <c r="B13" s="11" t="inlineStr">
        <is>
          <t>Chiến đấu</t>
        </is>
      </c>
      <c r="C13" s="11" t="inlineStr">
        <is>
          <t>Tài nguyên</t>
        </is>
      </c>
      <c r="D13" s="11" t="inlineStr">
        <is>
          <t>HUD</t>
        </is>
      </c>
      <c r="E13" s="11" t="inlineStr">
        <is>
          <t>Action</t>
        </is>
      </c>
      <c r="F13" s="11" t="inlineStr">
        <is>
          <t>HP và Chân Nguyên</t>
        </is>
      </c>
      <c r="G13" s="11" t="inlineStr">
        <is>
          <t>CL-009</t>
        </is>
      </c>
      <c r="H13" s="11" t="inlineStr">
        <is>
          <t>Hiện HP/mana số và thanh; mana cost lấy từ maxMana × cost%; server snapshot là nguồn số thật.</t>
        </is>
      </c>
      <c r="I13" s="11" t="inlineStr">
        <is>
          <t>CL</t>
        </is>
      </c>
      <c r="J13" s="11" t="inlineStr">
        <is>
          <t>Must</t>
        </is>
      </c>
      <c r="K13" s="11" t="inlineStr">
        <is>
          <t>CL-006, CL-007, CL-008, CL-010, SV-002, SV-005</t>
        </is>
      </c>
      <c r="L13" s="11" t="inlineStr">
        <is>
          <t>Đề xuất từ ý tưởng + cụ thể hóa cho alpha</t>
        </is>
      </c>
      <c r="M13" s="11" t="inlineStr">
        <is>
          <t>HP/mana/cost server</t>
        </is>
      </c>
      <c r="N13" s="11" t="inlineStr">
        <is>
          <t>Bars, mana feed back</t>
        </is>
      </c>
      <c r="O13" s="11" t="inlineStr">
        <is>
          <t>Mana thiếu: từ chối cast, không reset cooldown</t>
        </is>
      </c>
      <c r="P13" s="11" t="inlineStr">
        <is>
          <t>UI đúng số server sau cast, hồi phục và reconnect.</t>
        </is>
      </c>
      <c r="Q13" s="11" t="inlineStr">
        <is>
          <t>T04-CL, T05-CL, T05-SV</t>
        </is>
      </c>
      <c r="R13" s="11" t="inlineStr">
        <is>
          <t>TC-CL-009</t>
        </is>
      </c>
      <c r="S13" s="11" t="inlineStr">
        <is>
          <t>BR-05</t>
        </is>
      </c>
      <c r="T13" s="11" t="inlineStr"/>
      <c r="U13" s="11" t="inlineStr">
        <is>
          <t>MVP</t>
        </is>
      </c>
      <c r="V13" s="11" t="inlineStr">
        <is>
          <t>Đề xuất</t>
        </is>
      </c>
    </row>
    <row r="14" ht="39" customHeight="1">
      <c r="A14" s="12" t="n">
        <v>10</v>
      </c>
      <c r="B14" s="12" t="inlineStr">
        <is>
          <t>Chiến đấu</t>
        </is>
      </c>
      <c r="C14" s="12" t="inlineStr">
        <is>
          <t>Trạng thái</t>
        </is>
      </c>
      <c r="D14" s="12" t="inlineStr">
        <is>
          <t>HUD</t>
        </is>
      </c>
      <c r="E14" s="12" t="inlineStr">
        <is>
          <t>Action</t>
        </is>
      </c>
      <c r="F14" s="12" t="inlineStr">
        <is>
          <t>Buff, debuff và combat feed back</t>
        </is>
      </c>
      <c r="G14" s="12" t="inlineStr">
        <is>
          <t>CL-010</t>
        </is>
      </c>
      <c r="H14" s="12" t="inlineStr">
        <is>
          <t>Icon có thời gian; shield/slow/stun/heal rõ; damage number có giới hạn; telegraph không chỉ dựa màu.</t>
        </is>
      </c>
      <c r="I14" s="12" t="inlineStr">
        <is>
          <t>CL</t>
        </is>
      </c>
      <c r="J14" s="12" t="inlineStr">
        <is>
          <t>Must</t>
        </is>
      </c>
      <c r="K14" s="12" t="inlineStr">
        <is>
          <t>CL-007, CL-008, CL-009, CL-030</t>
        </is>
      </c>
      <c r="L14" s="12" t="inlineStr">
        <is>
          <t>Đề xuất từ ý tưởng + cụ thể hóa cho alpha</t>
        </is>
      </c>
      <c r="M14" s="12" t="inlineStr">
        <is>
          <t>Combat events/status endTime</t>
        </is>
      </c>
      <c r="N14" s="12" t="inlineStr">
        <is>
          <t>Icon, VFX, SFX</t>
        </is>
      </c>
      <c r="O14" s="12" t="inlineStr">
        <is>
          <t>Event trùng bỏ qua bằng eventId</t>
        </is>
      </c>
      <c r="P14" s="12" t="inlineStr">
        <is>
          <t>Stun/slow đúng duration; mute tắt được audio; denied khác hit.</t>
        </is>
      </c>
      <c r="Q14" s="12" t="inlineStr">
        <is>
          <t>T05-CL, T11-CL, T11-AR</t>
        </is>
      </c>
      <c r="R14" s="12" t="inlineStr">
        <is>
          <t>TC-CL-010</t>
        </is>
      </c>
      <c r="S14" s="12" t="inlineStr">
        <is>
          <t>BR-06</t>
        </is>
      </c>
      <c r="T14" s="12" t="inlineStr"/>
      <c r="U14" s="12" t="inlineStr">
        <is>
          <t>MVP</t>
        </is>
      </c>
      <c r="V14" s="12" t="inlineStr">
        <is>
          <t>Đề xuất</t>
        </is>
      </c>
    </row>
    <row r="15" ht="39" customHeight="1">
      <c r="A15" s="11" t="n">
        <v>11</v>
      </c>
      <c r="B15" s="11" t="inlineStr">
        <is>
          <t>Chiến đấu</t>
        </is>
      </c>
      <c r="C15" s="11" t="inlineStr">
        <is>
          <t>Sinh tử</t>
        </is>
      </c>
      <c r="D15" s="11" t="inlineStr">
        <is>
          <t>Respawn</t>
        </is>
      </c>
      <c r="E15" s="11" t="inlineStr">
        <is>
          <t>Action</t>
        </is>
      </c>
      <c r="F15" s="11" t="inlineStr">
        <is>
          <t>Chết và hồi sinh</t>
        </is>
      </c>
      <c r="G15" s="11" t="inlineStr">
        <is>
          <t>CL-011</t>
        </is>
      </c>
      <c r="H15" s="11" t="inlineStr">
        <is>
          <t>0 HP khóa input combat; 5 giây rồi hồi tại safe spawn; không mất Cổ trong MVP; mất 5% tiền mềm, cap 50.</t>
        </is>
      </c>
      <c r="I15" s="11" t="inlineStr">
        <is>
          <t>CL</t>
        </is>
      </c>
      <c r="J15" s="11" t="inlineStr">
        <is>
          <t>Must</t>
        </is>
      </c>
      <c r="K15" s="11" t="inlineStr">
        <is>
          <t>CL-005, CL-012, SV-006</t>
        </is>
      </c>
      <c r="L15" s="11" t="inlineStr">
        <is>
          <t>Đề xuất từ ý tưởng + cụ thể hóa cho alpha</t>
        </is>
      </c>
      <c r="M15" s="11" t="inlineStr">
        <is>
          <t>Death event; respawn intent</t>
        </is>
      </c>
      <c r="N15" s="11" t="inlineStr">
        <is>
          <t>Respawn, penalty receipt</t>
        </is>
      </c>
      <c r="O15" s="11" t="inlineStr">
        <is>
          <t>Nhấn lặp không trừ nhiều lần; đang mất mạng chờ resync</t>
        </is>
      </c>
      <c r="P15" s="11" t="inlineStr">
        <is>
          <t>Một death chỉ một penalty; quest/Gu vẫn còn sau hồi sinh.</t>
        </is>
      </c>
      <c r="Q15" s="11" t="inlineStr">
        <is>
          <t>T06-CL, T06-SV</t>
        </is>
      </c>
      <c r="R15" s="11" t="inlineStr">
        <is>
          <t>TC-CL-011</t>
        </is>
      </c>
      <c r="S15" s="11" t="inlineStr">
        <is>
          <t>BR-07</t>
        </is>
      </c>
      <c r="T15" s="11" t="inlineStr">
        <is>
          <t>UC-10</t>
        </is>
      </c>
      <c r="U15" s="11" t="inlineStr">
        <is>
          <t>MVP</t>
        </is>
      </c>
      <c r="V15" s="11" t="inlineStr">
        <is>
          <t>Đề xuất</t>
        </is>
      </c>
    </row>
    <row r="16" ht="54" customHeight="1">
      <c r="A16" s="12" t="n">
        <v>12</v>
      </c>
      <c r="B16" s="12" t="inlineStr">
        <is>
          <t>PvE</t>
        </is>
      </c>
      <c r="C16" s="12" t="inlineStr">
        <is>
          <t>Quái và loot</t>
        </is>
      </c>
      <c r="D16" s="12" t="inlineStr">
        <is>
          <t>World</t>
        </is>
      </c>
      <c r="E16" s="12" t="inlineStr">
        <is>
          <t>Action</t>
        </is>
      </c>
      <c r="F16" s="12" t="inlineStr">
        <is>
          <t>Đánh quái và nhận loot</t>
        </is>
      </c>
      <c r="G16" s="12" t="inlineStr">
        <is>
          <t>CL-012</t>
        </is>
      </c>
      <c r="H16" s="12" t="inlineStr">
        <is>
          <t>Quái có cấp, HP, aggro, leash; loot cá nhân vào túi sau server commit; popup theo receipt.</t>
        </is>
      </c>
      <c r="I16" s="12" t="inlineStr">
        <is>
          <t>CL</t>
        </is>
      </c>
      <c r="J16" s="12" t="inlineStr">
        <is>
          <t>Must</t>
        </is>
      </c>
      <c r="K16" s="12" t="inlineStr">
        <is>
          <t>CL-005, CL-011, CL-013, CL-014, CL-015, SV-006, SV-007, SV-008, SV-009</t>
        </is>
      </c>
      <c r="L16" s="12" t="inlineStr">
        <is>
          <t>Đề xuất từ ý tưởng + cụ thể hóa cho alpha</t>
        </is>
      </c>
      <c r="M16" s="12" t="inlineStr">
        <is>
          <t>Mob ID, combat intent</t>
        </is>
      </c>
      <c r="N16" s="12" t="inlineStr">
        <is>
          <t>XP, tiền, vật liệu/Gu</t>
        </is>
      </c>
      <c r="O16" s="12" t="inlineStr">
        <is>
          <t>Túi đầy không mất reward: vào reward inbox</t>
        </is>
      </c>
      <c r="P16" s="12" t="inlineStr">
        <is>
          <t>Hai client đánh cùng quái chỉ một owner nhận reward; retry không nhân đôi.</t>
        </is>
      </c>
      <c r="Q16" s="12" t="inlineStr">
        <is>
          <t>T06-CL, T06-SV, T07-SV</t>
        </is>
      </c>
      <c r="R16" s="12" t="inlineStr">
        <is>
          <t>TC-CL-012</t>
        </is>
      </c>
      <c r="S16" s="12" t="inlineStr">
        <is>
          <t>BR-08</t>
        </is>
      </c>
      <c r="T16" s="12" t="inlineStr">
        <is>
          <t>UC-03</t>
        </is>
      </c>
      <c r="U16" s="12" t="inlineStr">
        <is>
          <t>MVP</t>
        </is>
      </c>
      <c r="V16" s="12" t="inlineStr">
        <is>
          <t>Đề xuất</t>
        </is>
      </c>
    </row>
    <row r="17" ht="39" customHeight="1">
      <c r="A17" s="11" t="n">
        <v>13</v>
      </c>
      <c r="B17" s="11" t="inlineStr">
        <is>
          <t>Inventory</t>
        </is>
      </c>
      <c r="C17" s="11" t="inlineStr">
        <is>
          <t>Túi đồ</t>
        </is>
      </c>
      <c r="D17" s="11" t="inlineStr">
        <is>
          <t>Bag</t>
        </is>
      </c>
      <c r="E17" s="11" t="inlineStr">
        <is>
          <t>Action</t>
        </is>
      </c>
      <c r="F17" s="11" t="inlineStr">
        <is>
          <t>Túi 30 ô và stack</t>
        </is>
      </c>
      <c r="G17" s="11" t="inlineStr">
        <is>
          <t>CL-013</t>
        </is>
      </c>
      <c r="H17" s="11" t="inlineStr">
        <is>
          <t>30 ô; vật liệu stack 99; Gu unique 1 ô/instance; lọc Gu/nguyên liệu/vật phẩm; sort chỉ thay layout.</t>
        </is>
      </c>
      <c r="I17" s="11" t="inlineStr">
        <is>
          <t>CL</t>
        </is>
      </c>
      <c r="J17" s="11" t="inlineStr">
        <is>
          <t>Must</t>
        </is>
      </c>
      <c r="K17" s="11" t="inlineStr">
        <is>
          <t>CL-007, CL-012, CL-014, CL-015, SV-007, SV-008, SV-009</t>
        </is>
      </c>
      <c r="L17" s="11" t="inlineStr">
        <is>
          <t>Đề xuất từ ý tưởng + cụ thể hóa cho alpha</t>
        </is>
      </c>
      <c r="M17" s="11" t="inlineStr">
        <is>
          <t>Items, slot IDs</t>
        </is>
      </c>
      <c r="N17" s="11" t="inlineStr">
        <is>
          <t>Bag, count</t>
        </is>
      </c>
      <c r="O17" s="11" t="inlineStr">
        <is>
          <t>Không gộp Gu instance; túi đầy báo thiếu ô</t>
        </is>
      </c>
      <c r="P17" s="11" t="inlineStr">
        <is>
          <t>Stack 98+3 thành 99+2; không tạo/xóa item bằng sort.</t>
        </is>
      </c>
      <c r="Q17" s="11" t="inlineStr">
        <is>
          <t>T07-CL, T07-SV</t>
        </is>
      </c>
      <c r="R17" s="11" t="inlineStr">
        <is>
          <t>TC-CL-013</t>
        </is>
      </c>
      <c r="S17" s="11" t="inlineStr">
        <is>
          <t>BR-09</t>
        </is>
      </c>
      <c r="T17" s="11" t="inlineStr">
        <is>
          <t>UC-04</t>
        </is>
      </c>
      <c r="U17" s="11" t="inlineStr">
        <is>
          <t>MVP</t>
        </is>
      </c>
      <c r="V17" s="11" t="inlineStr">
        <is>
          <t>Đề xuất</t>
        </is>
      </c>
    </row>
    <row r="18" ht="39" customHeight="1">
      <c r="A18" s="12" t="n">
        <v>14</v>
      </c>
      <c r="B18" s="12" t="inlineStr">
        <is>
          <t>Inventory</t>
        </is>
      </c>
      <c r="C18" s="12" t="inlineStr">
        <is>
          <t>Chi tiết</t>
        </is>
      </c>
      <c r="D18" s="12" t="inlineStr">
        <is>
          <t>Tooltip</t>
        </is>
      </c>
      <c r="E18" s="12" t="inlineStr">
        <is>
          <t>Action</t>
        </is>
      </c>
      <c r="F18" s="12" t="inlineStr">
        <is>
          <t>Tooltip và khóa Cổ</t>
        </is>
      </c>
      <c r="G18" s="12" t="inlineStr">
        <is>
          <t>CL-014</t>
        </is>
      </c>
      <c r="H18" s="12" t="inlineStr">
        <is>
          <t>Hiện rank/type/mana/cooldown/food/hunger/bound; người chơi lock để chống chọn nhầm khi luyện hoặc bán.</t>
        </is>
      </c>
      <c r="I18" s="12" t="inlineStr">
        <is>
          <t>CL</t>
        </is>
      </c>
      <c r="J18" s="12" t="inlineStr">
        <is>
          <t>Must</t>
        </is>
      </c>
      <c r="K18" s="12" t="inlineStr">
        <is>
          <t>CL-007, CL-012, CL-013, CL-015, SV-007, SV-008, SV-009</t>
        </is>
      </c>
      <c r="L18" s="12" t="inlineStr">
        <is>
          <t>Đề xuất từ ý tưởng + cụ thể hóa cho alpha</t>
        </is>
      </c>
      <c r="M18" s="12" t="inlineStr">
        <is>
          <t>Gu instance/config</t>
        </is>
      </c>
      <c r="N18" s="12" t="inlineStr">
        <is>
          <t>Tooltip; lock state</t>
        </is>
      </c>
      <c r="O18" s="12" t="inlineStr">
        <is>
          <t>Locked/equipped không dùng làm nguyên liệu</t>
        </is>
      </c>
      <c r="P18" s="12" t="inlineStr">
        <is>
          <t>Tooltip khớp catalog; khóa có hiệu lực sau reconnect.</t>
        </is>
      </c>
      <c r="Q18" s="12" t="inlineStr">
        <is>
          <t>T07-CL, T07-SV</t>
        </is>
      </c>
      <c r="R18" s="12" t="inlineStr">
        <is>
          <t>TC-CL-014</t>
        </is>
      </c>
      <c r="S18" s="12" t="inlineStr">
        <is>
          <t>BR-10</t>
        </is>
      </c>
      <c r="T18" s="12" t="inlineStr">
        <is>
          <t>UC-04</t>
        </is>
      </c>
      <c r="U18" s="12" t="inlineStr">
        <is>
          <t>MVP</t>
        </is>
      </c>
      <c r="V18" s="12" t="inlineStr">
        <is>
          <t>Đề xuất</t>
        </is>
      </c>
    </row>
    <row r="19" ht="54" customHeight="1">
      <c r="A19" s="11" t="n">
        <v>15</v>
      </c>
      <c r="B19" s="11" t="inlineStr">
        <is>
          <t>Cổ trùng</t>
        </is>
      </c>
      <c r="C19" s="11" t="inlineStr">
        <is>
          <t>Không Khiếu</t>
        </is>
      </c>
      <c r="D19" s="11" t="inlineStr">
        <is>
          <t>Loadout</t>
        </is>
      </c>
      <c r="E19" s="11" t="inlineStr">
        <is>
          <t>Action</t>
        </is>
      </c>
      <c r="F19" s="11" t="inlineStr">
        <is>
          <t>Trang bị và tháo Cổ</t>
        </is>
      </c>
      <c r="G19" s="11" t="inlineStr">
        <is>
          <t>CL-015</t>
        </is>
      </c>
      <c r="H19" s="11" t="inlineStr">
        <is>
          <t>4 active từ rank I; 2 passive khi rank II; không trùng definition trên cùng loadout; sửa ở safe zone và ngoài combat 5 giây.</t>
        </is>
      </c>
      <c r="I19" s="11" t="inlineStr">
        <is>
          <t>CL</t>
        </is>
      </c>
      <c r="J19" s="11" t="inlineStr">
        <is>
          <t>Must</t>
        </is>
      </c>
      <c r="K19" s="11" t="inlineStr">
        <is>
          <t>CL-007, CL-012, CL-013, CL-014, SV-005, SV-007, SV-008, SV-009, SV-015</t>
        </is>
      </c>
      <c r="L19" s="11" t="inlineStr">
        <is>
          <t>Đề xuất từ ý tưởng + cụ thể hóa cho alpha</t>
        </is>
      </c>
      <c r="M19" s="11" t="inlineStr">
        <is>
          <t>Slot, Gu instance, expectedVersion</t>
        </is>
      </c>
      <c r="N19" s="11" t="inlineStr">
        <is>
          <t>Loadout, derived stats</t>
        </is>
      </c>
      <c r="O19" s="11" t="inlineStr">
        <is>
          <t>Sai rank/type/duplicate/đang combat: reject</t>
        </is>
      </c>
      <c r="P19" s="11" t="inlineStr">
        <is>
          <t>Swap nguyên tử; không tồn tại 1 Gu ở 2 slot; stats không cộng lặp.</t>
        </is>
      </c>
      <c r="Q19" s="11" t="inlineStr">
        <is>
          <t>T07-CL, T07-SV, T11-SV</t>
        </is>
      </c>
      <c r="R19" s="11" t="inlineStr">
        <is>
          <t>TC-CL-015</t>
        </is>
      </c>
      <c r="S19" s="11" t="inlineStr">
        <is>
          <t>BR-03, BR-10</t>
        </is>
      </c>
      <c r="T19" s="11" t="inlineStr">
        <is>
          <t>UC-04</t>
        </is>
      </c>
      <c r="U19" s="11" t="inlineStr">
        <is>
          <t>MVP</t>
        </is>
      </c>
      <c r="V19" s="11" t="inlineStr">
        <is>
          <t>Đề xuất</t>
        </is>
      </c>
    </row>
    <row r="20" ht="39" customHeight="1">
      <c r="A20" s="12" t="n">
        <v>16</v>
      </c>
      <c r="B20" s="12" t="inlineStr">
        <is>
          <t>Cổ trùng</t>
        </is>
      </c>
      <c r="C20" s="12" t="inlineStr">
        <is>
          <t>Săn bắt</t>
        </is>
      </c>
      <c r="D20" s="12" t="inlineStr">
        <is>
          <t>Capture</t>
        </is>
      </c>
      <c r="E20" s="12" t="inlineStr">
        <is>
          <t>Action</t>
        </is>
      </c>
      <c r="F20" s="12" t="inlineStr">
        <is>
          <t>Bắt Hoang Cổ</t>
        </is>
      </c>
      <c r="G20" s="12" t="inlineStr">
        <is>
          <t>CL-016</t>
        </is>
      </c>
      <c r="H20" s="12" t="inlineStr">
        <is>
          <t>Quái có cờ capturable; HP≤30%; gần≤3 tile; channel 2 giây, nhận damage thì hủy; seal tiêu khi channel hợp lệ bắt đầu.</t>
        </is>
      </c>
      <c r="I20" s="12" t="inlineStr">
        <is>
          <t>CL</t>
        </is>
      </c>
      <c r="J20" s="12" t="inlineStr">
        <is>
          <t>Must</t>
        </is>
      </c>
      <c r="K20" s="12" t="inlineStr">
        <is>
          <t>CL-017, SV-006, SV-010</t>
        </is>
      </c>
      <c r="L20" s="12" t="inlineStr">
        <is>
          <t>Đề xuất từ ý tưởng + cụ thể hóa cho alpha</t>
        </is>
      </c>
      <c r="M20" s="12" t="inlineStr">
        <is>
          <t>Spawn ID, capture seal</t>
        </is>
      </c>
      <c r="N20" s="12" t="inlineStr">
        <is>
          <t>Progress; success/fail receipt</t>
        </is>
      </c>
      <c r="O20" s="12" t="inlineStr">
        <is>
          <t>Túi đầy/target không hợp lệ: không bắt đầu, không tiêu seal</t>
        </is>
      </c>
      <c r="P20" s="12" t="inlineStr">
        <is>
          <t>Hai người bắt cùng spawn chỉ một người giữ claim; chết/bắt chỉ một terminal result.</t>
        </is>
      </c>
      <c r="Q20" s="12" t="inlineStr">
        <is>
          <t>T08-CL, T08-SV</t>
        </is>
      </c>
      <c r="R20" s="12" t="inlineStr">
        <is>
          <t>TC-CL-016</t>
        </is>
      </c>
      <c r="S20" s="12" t="inlineStr">
        <is>
          <t>BR-11</t>
        </is>
      </c>
      <c r="T20" s="12" t="inlineStr">
        <is>
          <t>UC-05</t>
        </is>
      </c>
      <c r="U20" s="12" t="inlineStr">
        <is>
          <t>MVP</t>
        </is>
      </c>
      <c r="V20" s="12" t="inlineStr">
        <is>
          <t>Đề xuất</t>
        </is>
      </c>
    </row>
    <row r="21" ht="39" customHeight="1">
      <c r="A21" s="11" t="n">
        <v>17</v>
      </c>
      <c r="B21" s="11" t="inlineStr">
        <is>
          <t>Cổ trùng</t>
        </is>
      </c>
      <c r="C21" s="11" t="inlineStr">
        <is>
          <t>Nuôi dưỡng</t>
        </is>
      </c>
      <c r="D21" s="11" t="inlineStr">
        <is>
          <t>Feed</t>
        </is>
      </c>
      <c r="E21" s="11" t="inlineStr">
        <is>
          <t>Action</t>
        </is>
      </c>
      <c r="F21" s="11" t="inlineStr">
        <is>
          <t>Cho ăn và trạng thái đói</t>
        </is>
      </c>
      <c r="G21" s="11" t="inlineStr">
        <is>
          <t>CL-017</t>
        </is>
      </c>
      <c r="H21" s="11" t="inlineStr">
        <is>
          <t>Hunger 0–100, giảm 1 điểm/5 phút online khi equipped; offline dừng; &lt;20 yếu đi, 0 ngủ, không chết; đồ ăn phù hợp +40.</t>
        </is>
      </c>
      <c r="I21" s="11" t="inlineStr">
        <is>
          <t>CL</t>
        </is>
      </c>
      <c r="J21" s="11" t="inlineStr">
        <is>
          <t>Must</t>
        </is>
      </c>
      <c r="K21" s="11" t="inlineStr">
        <is>
          <t>CL-016, SV-006, SV-010</t>
        </is>
      </c>
      <c r="L21" s="11" t="inlineStr">
        <is>
          <t>Đề xuất từ ý tưởng + cụ thể hóa cho alpha</t>
        </is>
      </c>
      <c r="M21" s="11" t="inlineStr">
        <is>
          <t>Gu instance, food instance/qty</t>
        </is>
      </c>
      <c r="N21" s="11" t="inlineStr">
        <is>
          <t>Hunger/stat preview; receipt</t>
        </is>
      </c>
      <c r="O21" s="11" t="inlineStr">
        <is>
          <t>Sai thức ăn/đầy hunger: reject không mất đồ</t>
        </is>
      </c>
      <c r="P21" s="11" t="inlineStr">
        <is>
          <t>Feed một lần +40 cap100; online/offline không bị tính đôi.</t>
        </is>
      </c>
      <c r="Q21" s="11" t="inlineStr">
        <is>
          <t>T08-CL, T08-SV</t>
        </is>
      </c>
      <c r="R21" s="11" t="inlineStr">
        <is>
          <t>TC-CL-017</t>
        </is>
      </c>
      <c r="S21" s="11" t="inlineStr">
        <is>
          <t>BR-12</t>
        </is>
      </c>
      <c r="T21" s="11" t="inlineStr">
        <is>
          <t>UC-06</t>
        </is>
      </c>
      <c r="U21" s="11" t="inlineStr">
        <is>
          <t>MVP</t>
        </is>
      </c>
      <c r="V21" s="11" t="inlineStr">
        <is>
          <t>Đề xuất</t>
        </is>
      </c>
    </row>
    <row r="22" ht="39" customHeight="1">
      <c r="A22" s="12" t="n">
        <v>18</v>
      </c>
      <c r="B22" s="12" t="inlineStr">
        <is>
          <t>Cổ trùng</t>
        </is>
      </c>
      <c r="C22" s="12" t="inlineStr">
        <is>
          <t>Luyện chế</t>
        </is>
      </c>
      <c r="D22" s="12" t="inlineStr">
        <is>
          <t>Refine</t>
        </is>
      </c>
      <c r="E22" s="12" t="inlineStr">
        <is>
          <t>Action</t>
        </is>
      </c>
      <c r="F22" s="12" t="inlineStr">
        <is>
          <t>Chọn công thức và preview</t>
        </is>
      </c>
      <c r="G22" s="12" t="inlineStr">
        <is>
          <t>CL-018</t>
        </is>
      </c>
      <c r="H22" s="12" t="inlineStr">
        <is>
          <t>10 recipe rank I→II; chọn 2 instance Cổ khác nhau, vật liệu, tiền; hiển thị tỷ lệ hiện tại/pity và điều gì mất khi fail.</t>
        </is>
      </c>
      <c r="I22" s="12" t="inlineStr">
        <is>
          <t>CL</t>
        </is>
      </c>
      <c r="J22" s="12" t="inlineStr">
        <is>
          <t>Must</t>
        </is>
      </c>
      <c r="K22" s="12" t="inlineStr">
        <is>
          <t>CL-019, SV-008, SV-011</t>
        </is>
      </c>
      <c r="L22" s="12" t="inlineStr">
        <is>
          <t>Đề xuất từ ý tưởng + cụ thể hóa cho alpha</t>
        </is>
      </c>
      <c r="M22" s="12" t="inlineStr">
        <is>
          <t>Recipe ID, input instance IDs</t>
        </is>
      </c>
      <c r="N22" s="12" t="inlineStr">
        <is>
          <t>Preview costs/chance/output</t>
        </is>
      </c>
      <c r="O22" s="12" t="inlineStr">
        <is>
          <t>Locked/equipped/sai sở hữu/rank: chặn</t>
        </is>
      </c>
      <c r="P22" s="12" t="inlineStr">
        <is>
          <t>Preview và server dùng cùng configVersion; không có xác suất ẩn.</t>
        </is>
      </c>
      <c r="Q22" s="12" t="inlineStr">
        <is>
          <t>T09-CL, T09-SV</t>
        </is>
      </c>
      <c r="R22" s="12" t="inlineStr">
        <is>
          <t>TC-CL-018</t>
        </is>
      </c>
      <c r="S22" s="12" t="inlineStr">
        <is>
          <t>BR-13</t>
        </is>
      </c>
      <c r="T22" s="12" t="inlineStr">
        <is>
          <t>UC-07</t>
        </is>
      </c>
      <c r="U22" s="12" t="inlineStr">
        <is>
          <t>MVP</t>
        </is>
      </c>
      <c r="V22" s="12" t="inlineStr">
        <is>
          <t>Đề xuất</t>
        </is>
      </c>
    </row>
    <row r="23" ht="39" customHeight="1">
      <c r="A23" s="11" t="n">
        <v>19</v>
      </c>
      <c r="B23" s="11" t="inlineStr">
        <is>
          <t>Cổ trùng</t>
        </is>
      </c>
      <c r="C23" s="11" t="inlineStr">
        <is>
          <t>Luyện chế</t>
        </is>
      </c>
      <c r="D23" s="11" t="inlineStr">
        <is>
          <t>Refine result</t>
        </is>
      </c>
      <c r="E23" s="11" t="inlineStr">
        <is>
          <t>Action</t>
        </is>
      </c>
      <c r="F23" s="11" t="inlineStr">
        <is>
          <t>Thực hiện luyện và xem kết quả</t>
        </is>
      </c>
      <c r="G23" s="11" t="inlineStr">
        <is>
          <t>CL-019</t>
        </is>
      </c>
      <c r="H23" s="11" t="inlineStr">
        <is>
          <t>Server roll; base 70%, fail tăng 10 điểm phần trăm đến 100%; fail mất vật liệu/tiền, giữ 2 Cổ; success mất input và tạo 1 Cổ II.</t>
        </is>
      </c>
      <c r="I23" s="11" t="inlineStr">
        <is>
          <t>CL</t>
        </is>
      </c>
      <c r="J23" s="11" t="inlineStr">
        <is>
          <t>Must</t>
        </is>
      </c>
      <c r="K23" s="11" t="inlineStr">
        <is>
          <t>CL-018, SV-008, SV-011</t>
        </is>
      </c>
      <c r="L23" s="11" t="inlineStr">
        <is>
          <t>Đề xuất từ ý tưởng + cụ thể hóa cho alpha</t>
        </is>
      </c>
      <c r="M23" s="11" t="inlineStr">
        <is>
          <t>Request ID, recipe, inputs, version</t>
        </is>
      </c>
      <c r="N23" s="11" t="inlineStr">
        <is>
          <t>Durable receipt, pity, inventory version</t>
        </is>
      </c>
      <c r="O23" s="11" t="inlineStr">
        <is>
          <t>Timeout: tra receipt/retry cùng ID; không gửi roll mới</t>
        </is>
      </c>
      <c r="P23" s="11" t="inlineStr">
        <is>
          <t>Retry 20 lần cùng ID trả cùng kết quả và chỉ tiêu hao một lần.</t>
        </is>
      </c>
      <c r="Q23" s="11" t="inlineStr">
        <is>
          <t>T09-CL, T09-SV</t>
        </is>
      </c>
      <c r="R23" s="11" t="inlineStr">
        <is>
          <t>TC-CL-019</t>
        </is>
      </c>
      <c r="S23" s="11" t="inlineStr">
        <is>
          <t>BR-13, BR-14</t>
        </is>
      </c>
      <c r="T23" s="11" t="inlineStr">
        <is>
          <t>UC-07</t>
        </is>
      </c>
      <c r="U23" s="11" t="inlineStr">
        <is>
          <t>MVP</t>
        </is>
      </c>
      <c r="V23" s="11" t="inlineStr">
        <is>
          <t>Đề xuất</t>
        </is>
      </c>
    </row>
    <row r="24" ht="39" customHeight="1">
      <c r="A24" s="12" t="n">
        <v>20</v>
      </c>
      <c r="B24" s="12" t="inlineStr">
        <is>
          <t>Tiến triển</t>
        </is>
      </c>
      <c r="C24" s="12" t="inlineStr">
        <is>
          <t>Cấp và rank</t>
        </is>
      </c>
      <c r="D24" s="12" t="inlineStr">
        <is>
          <t>Character</t>
        </is>
      </c>
      <c r="E24" s="12" t="inlineStr">
        <is>
          <t>Action</t>
        </is>
      </c>
      <c r="F24" s="12" t="inlineStr">
        <is>
          <t>Cấp 1–20 và Nhất/Nhị Chuyển</t>
        </is>
      </c>
      <c r="G24" s="12" t="inlineStr">
        <is>
          <t>CL-020</t>
        </is>
      </c>
      <c r="H24" s="12" t="inlineStr">
        <is>
          <t>XP tích lũy; rank I ban đầu, rank II cần level 10 + quest 08 +500 tiền +10 đá; mở passive và dùng Cổ II.</t>
        </is>
      </c>
      <c r="I24" s="12" t="inlineStr">
        <is>
          <t>CL</t>
        </is>
      </c>
      <c r="J24" s="12" t="inlineStr">
        <is>
          <t>Must</t>
        </is>
      </c>
      <c r="K24" s="12" t="inlineStr">
        <is>
          <t>CL-021, CL-022, CL-029, SV-008, SV-009, SV-012</t>
        </is>
      </c>
      <c r="L24" s="12" t="inlineStr">
        <is>
          <t>Đề xuất từ ý tưởng + cụ thể hóa cho alpha</t>
        </is>
      </c>
      <c r="M24" s="12" t="inlineStr">
        <is>
          <t>XP events; rank-up intent</t>
        </is>
      </c>
      <c r="N24" s="12" t="inlineStr">
        <is>
          <t>Level/stats/slot unlock</t>
        </is>
      </c>
      <c r="O24" s="12" t="inlineStr">
        <is>
          <t>Thiếu điều kiện: liệt kê thiếu; cấp 20 dừng tăng</t>
        </is>
      </c>
      <c r="P24" s="12" t="inlineStr">
        <is>
          <t>Level 10 chưa thăng rank không trang bị Cổ II; rank-up lặp không tiêu thêm.</t>
        </is>
      </c>
      <c r="Q24" s="12" t="inlineStr">
        <is>
          <t>T10-CL, T10-SV</t>
        </is>
      </c>
      <c r="R24" s="12" t="inlineStr">
        <is>
          <t>TC-CL-020</t>
        </is>
      </c>
      <c r="S24" s="12" t="inlineStr">
        <is>
          <t>BR-15</t>
        </is>
      </c>
      <c r="T24" s="12" t="inlineStr">
        <is>
          <t>UC-08</t>
        </is>
      </c>
      <c r="U24" s="12" t="inlineStr">
        <is>
          <t>MVP</t>
        </is>
      </c>
      <c r="V24" s="12" t="inlineStr">
        <is>
          <t>Đề xuất</t>
        </is>
      </c>
    </row>
    <row r="25" ht="39" customHeight="1">
      <c r="A25" s="11" t="n">
        <v>21</v>
      </c>
      <c r="B25" s="11" t="inlineStr">
        <is>
          <t>Nhiệm vụ</t>
        </is>
      </c>
      <c r="C25" s="11" t="inlineStr">
        <is>
          <t>Nhận/trả</t>
        </is>
      </c>
      <c r="D25" s="11" t="inlineStr">
        <is>
          <t>Quest log</t>
        </is>
      </c>
      <c r="E25" s="11" t="inlineStr">
        <is>
          <t>Action</t>
        </is>
      </c>
      <c r="F25" s="11" t="inlineStr">
        <is>
          <t>10 quest và tracker</t>
        </is>
      </c>
      <c r="G25" s="11" t="inlineStr">
        <is>
          <t>CL-021</t>
        </is>
      </c>
      <c r="H25" s="11" t="inlineStr">
        <is>
          <t>8 chính +2 phụ; trạng thái locked/available/active/completed/claimed; 3 tracker; event kill/capture/feed/craft/dungeon.</t>
        </is>
      </c>
      <c r="I25" s="11" t="inlineStr">
        <is>
          <t>CL</t>
        </is>
      </c>
      <c r="J25" s="11" t="inlineStr">
        <is>
          <t>Must</t>
        </is>
      </c>
      <c r="K25" s="11" t="inlineStr">
        <is>
          <t>CL-020, CL-022, CL-029, SV-008, SV-009, SV-012</t>
        </is>
      </c>
      <c r="L25" s="11" t="inlineStr">
        <is>
          <t>Đề xuất từ ý tưởng + cụ thể hóa cho alpha</t>
        </is>
      </c>
      <c r="M25" s="11" t="inlineStr">
        <is>
          <t>Quest ID; gameplay events</t>
        </is>
      </c>
      <c r="N25" s="11" t="inlineStr">
        <is>
          <t>Progress, reward, next quest</t>
        </is>
      </c>
      <c r="O25" s="11" t="inlineStr">
        <is>
          <t>Quest item không đủ/đã claim: không nhận lại</t>
        </is>
      </c>
      <c r="P25" s="11" t="inlineStr">
        <is>
          <t>Progress reconnect còn đúng; Q08 chỉ mở Q09 khi rank II.</t>
        </is>
      </c>
      <c r="Q25" s="11" t="inlineStr">
        <is>
          <t>T10-CL, T10-SV</t>
        </is>
      </c>
      <c r="R25" s="11" t="inlineStr">
        <is>
          <t>TC-CL-021</t>
        </is>
      </c>
      <c r="S25" s="11" t="inlineStr">
        <is>
          <t>BR-16</t>
        </is>
      </c>
      <c r="T25" s="11" t="inlineStr">
        <is>
          <t>UC-08</t>
        </is>
      </c>
      <c r="U25" s="11" t="inlineStr">
        <is>
          <t>MVP</t>
        </is>
      </c>
      <c r="V25" s="11" t="inlineStr">
        <is>
          <t>Đề xuất</t>
        </is>
      </c>
    </row>
    <row r="26" ht="39" customHeight="1">
      <c r="A26" s="12" t="n">
        <v>22</v>
      </c>
      <c r="B26" s="12" t="inlineStr">
        <is>
          <t>Kinh tế</t>
        </is>
      </c>
      <c r="C26" s="12" t="inlineStr">
        <is>
          <t>NPC</t>
        </is>
      </c>
      <c r="D26" s="12" t="inlineStr">
        <is>
          <t>Shop</t>
        </is>
      </c>
      <c r="E26" s="12" t="inlineStr">
        <is>
          <t>Action</t>
        </is>
      </c>
      <c r="F26" s="12" t="inlineStr">
        <is>
          <t>Mua/bán với NPC</t>
        </is>
      </c>
      <c r="G26" s="12" t="inlineStr">
        <is>
          <t>CL-022</t>
        </is>
      </c>
      <c r="H26" s="12" t="inlineStr">
        <is>
          <t>NPC fixed price; bán vật liệu và Gu không khóa/không equipped; toàn bộ Gu bound trong MVP; không giao dịch người chơi.</t>
        </is>
      </c>
      <c r="I26" s="12" t="inlineStr">
        <is>
          <t>CL</t>
        </is>
      </c>
      <c r="J26" s="12" t="inlineStr">
        <is>
          <t>Must</t>
        </is>
      </c>
      <c r="K26" s="12" t="inlineStr">
        <is>
          <t>CL-020, CL-021, CL-029, SV-008, SV-009, SV-012</t>
        </is>
      </c>
      <c r="L26" s="12" t="inlineStr">
        <is>
          <t>Đề xuất từ ý tưởng + cụ thể hóa cho alpha</t>
        </is>
      </c>
      <c r="M26" s="12" t="inlineStr">
        <is>
          <t>NPC ID, item ID, qty, version</t>
        </is>
      </c>
      <c r="N26" s="12" t="inlineStr">
        <is>
          <t>Preview; balance; receipt</t>
        </is>
      </c>
      <c r="O26" s="12" t="inlineStr">
        <is>
          <t>Xa NPC, thiếu tiền, thiếu ô, qty sai: reject</t>
        </is>
      </c>
      <c r="P26" s="12" t="inlineStr">
        <is>
          <t>Mua/bán concurrent không âm tiền/item; 1 receipt cho 1 request.</t>
        </is>
      </c>
      <c r="Q26" s="12" t="inlineStr">
        <is>
          <t>T10-CL, T10-SV</t>
        </is>
      </c>
      <c r="R26" s="12" t="inlineStr">
        <is>
          <t>TC-CL-022</t>
        </is>
      </c>
      <c r="S26" s="12" t="inlineStr">
        <is>
          <t>BR-09, BR-14</t>
        </is>
      </c>
      <c r="T26" s="12" t="inlineStr">
        <is>
          <t>UC-09</t>
        </is>
      </c>
      <c r="U26" s="12" t="inlineStr">
        <is>
          <t>MVP</t>
        </is>
      </c>
      <c r="V26" s="12" t="inlineStr">
        <is>
          <t>Đề xuất</t>
        </is>
      </c>
    </row>
    <row r="27" ht="39" customHeight="1">
      <c r="A27" s="11" t="n">
        <v>23</v>
      </c>
      <c r="B27" s="11" t="inlineStr">
        <is>
          <t>Xã hội</t>
        </is>
      </c>
      <c r="C27" s="11" t="inlineStr">
        <is>
          <t>Tổ đội</t>
        </is>
      </c>
      <c r="D27" s="11" t="inlineStr">
        <is>
          <t>Party</t>
        </is>
      </c>
      <c r="E27" s="11" t="inlineStr">
        <is>
          <t>Action</t>
        </is>
      </c>
      <c r="F27" s="11" t="inlineStr">
        <is>
          <t>Party tối đa 3 người</t>
        </is>
      </c>
      <c r="G27" s="11" t="inlineStr">
        <is>
          <t>CL-023</t>
        </is>
      </c>
      <c r="H27" s="11" t="inlineStr">
        <is>
          <t>Mời, accept/decline, kick, leave; invite TTL 30 giây; leader rời thì chuyển người vào sớm nhất; không auto-match.</t>
        </is>
      </c>
      <c r="I27" s="11" t="inlineStr">
        <is>
          <t>CL</t>
        </is>
      </c>
      <c r="J27" s="11" t="inlineStr">
        <is>
          <t>Must</t>
        </is>
      </c>
      <c r="K27" s="11" t="inlineStr">
        <is>
          <t>CL-024, SV-013</t>
        </is>
      </c>
      <c r="L27" s="11" t="inlineStr">
        <is>
          <t>Đề xuất từ ý tưởng + cụ thể hóa cho alpha</t>
        </is>
      </c>
      <c r="M27" s="11" t="inlineStr">
        <is>
          <t>Player ID, invite ID</t>
        </is>
      </c>
      <c r="N27" s="11" t="inlineStr">
        <is>
          <t>Roster, HP, leader</t>
        </is>
      </c>
      <c r="O27" s="11" t="inlineStr">
        <is>
          <t>Đầy/đã party/expired: reject không tạo hai membership</t>
        </is>
      </c>
      <c r="P27" s="11" t="inlineStr">
        <is>
          <t>Hai invite đồng thời không làm người chơi ở2 party; thành viên 4 bị chặn.</t>
        </is>
      </c>
      <c r="Q27" s="11" t="inlineStr">
        <is>
          <t>T13-CL, T13-SV</t>
        </is>
      </c>
      <c r="R27" s="11" t="inlineStr">
        <is>
          <t>TC-CL-023</t>
        </is>
      </c>
      <c r="S27" s="11" t="inlineStr">
        <is>
          <t>BR-17</t>
        </is>
      </c>
      <c r="T27" s="11" t="inlineStr">
        <is>
          <t>UC-12</t>
        </is>
      </c>
      <c r="U27" s="11" t="inlineStr">
        <is>
          <t>MVP</t>
        </is>
      </c>
      <c r="V27" s="11" t="inlineStr">
        <is>
          <t>Đề xuất</t>
        </is>
      </c>
    </row>
    <row r="28" ht="54" customHeight="1">
      <c r="A28" s="12" t="n">
        <v>24</v>
      </c>
      <c r="B28" s="12" t="inlineStr">
        <is>
          <t>Xã hội</t>
        </is>
      </c>
      <c r="C28" s="12" t="inlineStr">
        <is>
          <t>Chat</t>
        </is>
      </c>
      <c r="D28" s="12" t="inlineStr">
        <is>
          <t>Chat</t>
        </is>
      </c>
      <c r="E28" s="12" t="inlineStr">
        <is>
          <t>Action</t>
        </is>
      </c>
      <c r="F28" s="12" t="inlineStr">
        <is>
          <t>Chat zone/party, mute/report</t>
        </is>
      </c>
      <c r="G28" s="12" t="inlineStr">
        <is>
          <t>CL-024</t>
        </is>
      </c>
      <c r="H28" s="12" t="inlineStr">
        <is>
          <t>Tối đa 200 ký tự/message;2 message/giây burst 4; hiển thị text escaped; local mute; report lưu bằng chứng message ID.</t>
        </is>
      </c>
      <c r="I28" s="12" t="inlineStr">
        <is>
          <t>CL</t>
        </is>
      </c>
      <c r="J28" s="12" t="inlineStr">
        <is>
          <t>Must</t>
        </is>
      </c>
      <c r="K28" s="12" t="inlineStr">
        <is>
          <t>AD-001, AD-002, AD-003, AD-004, AD-005, AD-006, AD-007, CL-023, SV-013, SV-015, SV-016, SV-017</t>
        </is>
      </c>
      <c r="L28" s="12" t="inlineStr">
        <is>
          <t>Đề xuất từ ý tưởng + cụ thể hóa cho alpha</t>
        </is>
      </c>
      <c r="M28" s="12" t="inlineStr">
        <is>
          <t>Channel, text, message ID</t>
        </is>
      </c>
      <c r="N28" s="12" t="inlineStr">
        <is>
          <t>Filtered message/report ID</t>
        </is>
      </c>
      <c r="O28" s="12" t="inlineStr">
        <is>
          <t>Không party không gửi party; HTML không render</t>
        </is>
      </c>
      <c r="P28" s="12" t="inlineStr">
        <is>
          <t>Chat chỉ tới người đúng channel; gõ QWER trong chat không cast.</t>
        </is>
      </c>
      <c r="Q28" s="12" t="inlineStr">
        <is>
          <t>T13-CL, T13-SV, T16-SV</t>
        </is>
      </c>
      <c r="R28" s="12" t="inlineStr">
        <is>
          <t>TC-CL-024</t>
        </is>
      </c>
      <c r="S28" s="12" t="inlineStr">
        <is>
          <t>BR-18</t>
        </is>
      </c>
      <c r="T28" s="12" t="inlineStr"/>
      <c r="U28" s="12" t="inlineStr">
        <is>
          <t>MVP</t>
        </is>
      </c>
      <c r="V28" s="12" t="inlineStr">
        <is>
          <t>Đề xuất</t>
        </is>
      </c>
    </row>
    <row r="29" ht="39" customHeight="1">
      <c r="A29" s="11" t="n">
        <v>25</v>
      </c>
      <c r="B29" s="11" t="inlineStr">
        <is>
          <t>PvE</t>
        </is>
      </c>
      <c r="C29" s="11" t="inlineStr">
        <is>
          <t>Phụ bản</t>
        </is>
      </c>
      <c r="D29" s="11" t="inlineStr">
        <is>
          <t>Dungeon</t>
        </is>
      </c>
      <c r="E29" s="11" t="inlineStr">
        <is>
          <t>Action</t>
        </is>
      </c>
      <c r="F29" s="11" t="inlineStr">
        <is>
          <t>Phụ bản 1–3 người và boss</t>
        </is>
      </c>
      <c r="G29" s="11" t="inlineStr">
        <is>
          <t>CL-025</t>
        </is>
      </c>
      <c r="H29" s="11" t="inlineStr">
        <is>
          <t>Leader tạo; mọi người level 10/rank II ở portal và ready; instance 15 phút;1 boss 2 pattern; loot cá nhân; một reward/run/character.</t>
        </is>
      </c>
      <c r="I29" s="11" t="inlineStr">
        <is>
          <t>CL</t>
        </is>
      </c>
      <c r="J29" s="11" t="inlineStr">
        <is>
          <t>Must</t>
        </is>
      </c>
      <c r="K29" s="11" t="inlineStr">
        <is>
          <t>SV-014</t>
        </is>
      </c>
      <c r="L29" s="11" t="inlineStr">
        <is>
          <t>Đề xuất từ ý tưởng + cụ thể hóa cho alpha</t>
        </is>
      </c>
      <c r="M29" s="11" t="inlineStr">
        <is>
          <t>Party, ready, portal</t>
        </is>
      </c>
      <c r="N29" s="11" t="inlineStr">
        <is>
          <t>Run ID, telegraph, results</t>
        </is>
      </c>
      <c r="O29" s="11" t="inlineStr">
        <is>
          <t>Thiếu điều kiện từ chối cả nhóm; wipe hồi entry; hết giờ đóng</t>
        </is>
      </c>
      <c r="P29" s="11" t="inlineStr">
        <is>
          <t>Ba người vào đúng một run; boss chết lặp không tạo thêm reward.</t>
        </is>
      </c>
      <c r="Q29" s="11" t="inlineStr">
        <is>
          <t>T14-CL, T14-SV</t>
        </is>
      </c>
      <c r="R29" s="11" t="inlineStr">
        <is>
          <t>TC-CL-025</t>
        </is>
      </c>
      <c r="S29" s="11" t="inlineStr">
        <is>
          <t>BR-19</t>
        </is>
      </c>
      <c r="T29" s="11" t="inlineStr">
        <is>
          <t>UC-13</t>
        </is>
      </c>
      <c r="U29" s="11" t="inlineStr">
        <is>
          <t>MVP</t>
        </is>
      </c>
      <c r="V29" s="11" t="inlineStr">
        <is>
          <t>Đề xuất</t>
        </is>
      </c>
    </row>
    <row r="30" ht="39" customHeight="1">
      <c r="A30" s="12" t="n">
        <v>26</v>
      </c>
      <c r="B30" s="12" t="inlineStr">
        <is>
          <t>PvP</t>
        </is>
      </c>
      <c r="C30" s="12" t="inlineStr">
        <is>
          <t>Đấu tay đôi</t>
        </is>
      </c>
      <c r="D30" s="12" t="inlineStr">
        <is>
          <t>Arena</t>
        </is>
      </c>
      <c r="E30" s="12" t="inlineStr">
        <is>
          <t>Action</t>
        </is>
      </c>
      <c r="F30" s="12" t="inlineStr">
        <is>
          <t>PK opt-in 1v1</t>
        </is>
      </c>
      <c r="G30" s="12" t="inlineStr">
        <is>
          <t>CL-026</t>
        </is>
      </c>
      <c r="H30" s="12" t="inlineStr">
        <is>
          <t>Hai bên accept; ready 10 giây/countdown 3 giây; trận 180 giây; stats thật, PvP damage×0.7; hòa khi hết giờ; không thưởng tiền/loot.</t>
        </is>
      </c>
      <c r="I30" s="12" t="inlineStr">
        <is>
          <t>CL</t>
        </is>
      </c>
      <c r="J30" s="12" t="inlineStr">
        <is>
          <t>Must</t>
        </is>
      </c>
      <c r="K30" s="12" t="inlineStr">
        <is>
          <t>SV-014</t>
        </is>
      </c>
      <c r="L30" s="12" t="inlineStr">
        <is>
          <t>Đề xuất từ ý tưởng + cụ thể hóa cho alpha</t>
        </is>
      </c>
      <c r="M30" s="12" t="inlineStr">
        <is>
          <t>Invite, accept, loadout snapshot</t>
        </is>
      </c>
      <c r="N30" s="12" t="inlineStr">
        <is>
          <t>Match state/result</t>
        </is>
      </c>
      <c r="O30" s="12" t="inlineStr">
        <is>
          <t>Ngoài arena không gây damage người chơi; disconnect&gt;30 giây xử thua</t>
        </is>
      </c>
      <c r="P30" s="12" t="inlineStr">
        <is>
          <t>Một trận có 1 result; không mất Cổ/tiền do chết arena; loadout không sửa giữa trận.</t>
        </is>
      </c>
      <c r="Q30" s="12" t="inlineStr">
        <is>
          <t>T15-CL, T15-SV</t>
        </is>
      </c>
      <c r="R30" s="12" t="inlineStr">
        <is>
          <t>TC-CL-026</t>
        </is>
      </c>
      <c r="S30" s="12" t="inlineStr">
        <is>
          <t>BR-20</t>
        </is>
      </c>
      <c r="T30" s="12" t="inlineStr">
        <is>
          <t>UC-14</t>
        </is>
      </c>
      <c r="U30" s="12" t="inlineStr">
        <is>
          <t>MVP</t>
        </is>
      </c>
      <c r="V30" s="12" t="inlineStr">
        <is>
          <t>Đề xuất</t>
        </is>
      </c>
    </row>
    <row r="31" ht="39" customHeight="1">
      <c r="A31" s="11" t="n">
        <v>27</v>
      </c>
      <c r="B31" s="11" t="inlineStr">
        <is>
          <t>Hệ thống</t>
        </is>
      </c>
      <c r="C31" s="11" t="inlineStr">
        <is>
          <t>Mạng</t>
        </is>
      </c>
      <c r="D31" s="11" t="inlineStr">
        <is>
          <t>Connection</t>
        </is>
      </c>
      <c r="E31" s="11" t="inlineStr">
        <is>
          <t>Action</t>
        </is>
      </c>
      <c r="F31" s="11" t="inlineStr">
        <is>
          <t>Mất kết nối và trở lại</t>
        </is>
      </c>
      <c r="G31" s="11" t="inlineStr">
        <is>
          <t>CL-027</t>
        </is>
      </c>
      <c r="H31" s="11" t="inlineStr">
        <is>
          <t>Overlay ngay khi mất kết nối; grace 30 giây; tạm dừng input; reconnect nhận snapshot đầy đủ, receipt còn pending có thể query.</t>
        </is>
      </c>
      <c r="I31" s="11" t="inlineStr">
        <is>
          <t>CL</t>
        </is>
      </c>
      <c r="J31" s="11" t="inlineStr">
        <is>
          <t>Must</t>
        </is>
      </c>
      <c r="K31" s="11" t="inlineStr">
        <is>
          <t>CL-006, SV-003, SV-004, SV-007</t>
        </is>
      </c>
      <c r="L31" s="11" t="inlineStr">
        <is>
          <t>Đề xuất từ ý tưởng + cụ thể hóa cho alpha</t>
        </is>
      </c>
      <c r="M31" s="11" t="inlineStr">
        <is>
          <t>Reconnect token/session</t>
        </is>
      </c>
      <c r="N31" s="11" t="inlineStr">
        <is>
          <t>Authoritative snapshot</t>
        </is>
      </c>
      <c r="O31" s="11" t="inlineStr">
        <is>
          <t>Hết grace: login lại; không phát lại queue cast cũ</t>
        </is>
      </c>
      <c r="P31" s="11" t="inlineStr">
        <is>
          <t>Rút mạng 10 giây trở lại cùng nhân vật; inventory không nhân đôi.</t>
        </is>
      </c>
      <c r="Q31" s="11" t="inlineStr">
        <is>
          <t>T12-CL, T12-SV</t>
        </is>
      </c>
      <c r="R31" s="11" t="inlineStr">
        <is>
          <t>TC-CL-027</t>
        </is>
      </c>
      <c r="S31" s="11" t="inlineStr">
        <is>
          <t>BR-21</t>
        </is>
      </c>
      <c r="T31" s="11" t="inlineStr">
        <is>
          <t>UC-11</t>
        </is>
      </c>
      <c r="U31" s="11" t="inlineStr">
        <is>
          <t>MVP</t>
        </is>
      </c>
      <c r="V31" s="11" t="inlineStr">
        <is>
          <t>Đề xuất</t>
        </is>
      </c>
    </row>
    <row r="32" ht="39" customHeight="1">
      <c r="A32" s="12" t="n">
        <v>28</v>
      </c>
      <c r="B32" s="12" t="inlineStr">
        <is>
          <t>Hệ thống</t>
        </is>
      </c>
      <c r="C32" s="12" t="inlineStr">
        <is>
          <t>Thiết lập</t>
        </is>
      </c>
      <c r="D32" s="12" t="inlineStr">
        <is>
          <t>Settings</t>
        </is>
      </c>
      <c r="E32" s="12" t="inlineStr">
        <is>
          <t>Action</t>
        </is>
      </c>
      <c r="F32" s="12" t="inlineStr">
        <is>
          <t>Thiết lập PC và lưu tùy chọn</t>
        </is>
      </c>
      <c r="G32" s="12" t="inlineStr">
        <is>
          <t>CL-028</t>
        </is>
      </c>
      <c r="H32" s="12" t="inlineStr">
        <is>
          <t>Âm lượng master/music/SFX, mute, quality low/normal, remap QWER/1; local preferences; UI tiếng Việt trước.</t>
        </is>
      </c>
      <c r="I32" s="12" t="inlineStr">
        <is>
          <t>CL</t>
        </is>
      </c>
      <c r="J32" s="12" t="inlineStr">
        <is>
          <t>Must</t>
        </is>
      </c>
      <c r="K32" s="12" t="inlineStr">
        <is>
          <t>AD-001, AD-002, AD-003, AD-004, AD-006</t>
        </is>
      </c>
      <c r="L32" s="12" t="inlineStr">
        <is>
          <t>Đề xuất từ ý tưởng + cụ thể hóa cho alpha</t>
        </is>
      </c>
      <c r="M32" s="12" t="inlineStr">
        <is>
          <t>Settings values</t>
        </is>
      </c>
      <c r="N32" s="12" t="inlineStr">
        <is>
          <t>Local settings</t>
        </is>
      </c>
      <c r="O32" s="12" t="inlineStr">
        <is>
          <t>Trùng phím: báo và yêu cầu thay; không bind vào chat input</t>
        </is>
      </c>
      <c r="P32" s="12" t="inlineStr">
        <is>
          <t>Reload giữ tùy chọn; trình duyệt chặn autoplay thì mở audio sau gesture.</t>
        </is>
      </c>
      <c r="Q32" s="12" t="inlineStr">
        <is>
          <t>T16-CL, T16-AR</t>
        </is>
      </c>
      <c r="R32" s="12" t="inlineStr">
        <is>
          <t>TC-CL-028</t>
        </is>
      </c>
      <c r="S32" s="12" t="inlineStr"/>
      <c r="T32" s="12" t="inlineStr"/>
      <c r="U32" s="12" t="inlineStr">
        <is>
          <t>MVP</t>
        </is>
      </c>
      <c r="V32" s="12" t="inlineStr">
        <is>
          <t>Đề xuất</t>
        </is>
      </c>
    </row>
    <row r="33" ht="39" customHeight="1">
      <c r="A33" s="11" t="n">
        <v>29</v>
      </c>
      <c r="B33" s="11" t="inlineStr">
        <is>
          <t>Hướng dẫn</t>
        </is>
      </c>
      <c r="C33" s="11" t="inlineStr">
        <is>
          <t>First session</t>
        </is>
      </c>
      <c r="D33" s="11" t="inlineStr">
        <is>
          <t>Tutorial</t>
        </is>
      </c>
      <c r="E33" s="11" t="inlineStr">
        <is>
          <t>Action</t>
        </is>
      </c>
      <c r="F33" s="11" t="inlineStr">
        <is>
          <t>30 giây đầu và tutorial</t>
        </is>
      </c>
      <c r="G33" s="11" t="inlineStr">
        <is>
          <t>CL-029</t>
        </is>
      </c>
      <c r="H33" s="11" t="inlineStr">
        <is>
          <t>Từ spawn an toàn: click di chuyển, Q đánh mục tiêu huấn luyện, nhặt thức ăn, mở túi; tiếp tục quest dài hơn sau đó.</t>
        </is>
      </c>
      <c r="I33" s="11" t="inlineStr">
        <is>
          <t>CL</t>
        </is>
      </c>
      <c r="J33" s="11" t="inlineStr">
        <is>
          <t>Must</t>
        </is>
      </c>
      <c r="K33" s="11" t="inlineStr">
        <is>
          <t>CL-020, CL-021, CL-022, SV-009</t>
        </is>
      </c>
      <c r="L33" s="11" t="inlineStr">
        <is>
          <t>Đề xuất từ ý tưởng + cụ thể hóa cho alpha</t>
        </is>
      </c>
      <c r="M33" s="11" t="inlineStr">
        <is>
          <t>New character, tutorial step</t>
        </is>
      </c>
      <c r="N33" s="11" t="inlineStr">
        <is>
          <t>Hints, starter items</t>
        </is>
      </c>
      <c r="O33" s="11" t="inlineStr">
        <is>
          <t>Bỏ qua vẫn có starter kit; reload không cấp thêm</t>
        </is>
      </c>
      <c r="P33" s="11" t="inlineStr">
        <is>
          <t>≥80% trong tối thiểu 10 tester hoàn thành phần điều khiển ≤3 phút không người hướng dẫn.</t>
        </is>
      </c>
      <c r="Q33" s="11" t="inlineStr">
        <is>
          <t>T03-GD, T10-CL, T16-GD</t>
        </is>
      </c>
      <c r="R33" s="11" t="inlineStr">
        <is>
          <t>TC-CL-029</t>
        </is>
      </c>
      <c r="S33" s="11" t="inlineStr"/>
      <c r="T33" s="11" t="inlineStr">
        <is>
          <t>UC-01</t>
        </is>
      </c>
      <c r="U33" s="11" t="inlineStr">
        <is>
          <t>MVP</t>
        </is>
      </c>
      <c r="V33" s="11" t="inlineStr">
        <is>
          <t>Đề xuất</t>
        </is>
      </c>
    </row>
    <row r="34" ht="39" customHeight="1">
      <c r="A34" s="12" t="n">
        <v>30</v>
      </c>
      <c r="B34" s="12" t="inlineStr">
        <is>
          <t>Cổ trùng</t>
        </is>
      </c>
      <c r="C34" s="12" t="inlineStr">
        <is>
          <t>Tra cứu</t>
        </is>
      </c>
      <c r="D34" s="12" t="inlineStr">
        <is>
          <t>Codex</t>
        </is>
      </c>
      <c r="E34" s="12" t="inlineStr">
        <is>
          <t>Action</t>
        </is>
      </c>
      <c r="F34" s="12" t="inlineStr">
        <is>
          <t>Danh mục Cổ và build</t>
        </is>
      </c>
      <c r="G34" s="12" t="inlineStr">
        <is>
          <t>CL-030</t>
        </is>
      </c>
      <c r="H34" s="12" t="inlineStr">
        <is>
          <t>20 Cổ với rank, loại, target, mana, cooldown, thức ăn, recipe; lọc owned/all; không gợi ý build trả tiền.</t>
        </is>
      </c>
      <c r="I34" s="12" t="inlineStr">
        <is>
          <t>CL</t>
        </is>
      </c>
      <c r="J34" s="12" t="inlineStr">
        <is>
          <t>Must</t>
        </is>
      </c>
      <c r="K34" s="12" t="inlineStr">
        <is>
          <t>CL-007, CL-008, CL-010</t>
        </is>
      </c>
      <c r="L34" s="12" t="inlineStr">
        <is>
          <t>Đề xuất từ ý tưởng + cụ thể hóa cho alpha</t>
        </is>
      </c>
      <c r="M34" s="12" t="inlineStr">
        <is>
          <t>Catalog/configVersion</t>
        </is>
      </c>
      <c r="N34" s="12" t="inlineStr">
        <is>
          <t>Codex; loadout inspection bản thân</t>
        </is>
      </c>
      <c r="O34" s="12" t="inlineStr">
        <is>
          <t>Config thiếu hiển thị fallback và log lỗi</t>
        </is>
      </c>
      <c r="P34" s="12" t="inlineStr">
        <is>
          <t>20/20 Cổ có tooltip đủ số; Cổ chưa sở hữu không equip được.</t>
        </is>
      </c>
      <c r="Q34" s="12" t="inlineStr">
        <is>
          <t>T11-CL, T11-GD</t>
        </is>
      </c>
      <c r="R34" s="12" t="inlineStr">
        <is>
          <t>TC-CL-030</t>
        </is>
      </c>
      <c r="S34" s="12" t="inlineStr"/>
      <c r="T34" s="12" t="inlineStr"/>
      <c r="U34" s="12" t="inlineStr">
        <is>
          <t>MVP</t>
        </is>
      </c>
      <c r="V34" s="12" t="inlineStr">
        <is>
          <t>Đề xuất</t>
        </is>
      </c>
    </row>
  </sheetData>
  <autoFilter ref="A4:V34"/>
  <mergeCells count="2">
    <mergeCell ref="A2:V2"/>
    <mergeCell ref="A1:V1"/>
  </mergeCells>
  <dataValidations count="1">
    <dataValidation sqref="V5:V34" showDropDown="0" showInputMessage="0" showErrorMessage="1" allowBlank="0" errorTitle="Giá trị chưa hợp lệ" error="Chọn một giá trị trong danh sách." type="list">
      <formula1>"Đề xuất,Đã chốt,Đang làm,Hoàn thành,Hoãn"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V22"/>
  <sheetViews>
    <sheetView showGridLines="0" workbookViewId="0">
      <pane xSplit="7" ySplit="4" topLeftCell="H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9" customWidth="1" min="3" max="3"/>
    <col width="19" customWidth="1" min="4" max="4"/>
    <col width="13" customWidth="1" min="5" max="5"/>
    <col width="35" customWidth="1" min="6" max="6"/>
    <col width="17" customWidth="1" min="7" max="7"/>
    <col width="80" customWidth="1" min="8" max="8"/>
    <col width="13" customWidth="1" min="9" max="9"/>
    <col width="15" customWidth="1" min="10" max="10"/>
    <col width="35" customWidth="1" min="11" max="11"/>
    <col width="38" customWidth="1" min="12" max="12"/>
    <col width="45" customWidth="1" min="13" max="13"/>
    <col width="45" customWidth="1" min="14" max="14"/>
    <col width="60" customWidth="1" min="15" max="15"/>
    <col width="75" customWidth="1" min="16" max="16"/>
    <col width="31" customWidth="1" min="17" max="17"/>
    <col width="20" customWidth="1" min="18" max="18"/>
    <col width="24" customWidth="1" min="19" max="19"/>
    <col width="20" customWidth="1" min="20" max="20"/>
    <col width="15" customWidth="1" min="21" max="21"/>
    <col width="18" customWidth="1" min="22" max="22"/>
  </cols>
  <sheetData>
    <row r="1" ht="34" customHeight="1">
      <c r="A1" s="1" t="inlineStr">
        <is>
          <t>04 / FSD — Server &amp; Persistence</t>
        </is>
      </c>
    </row>
    <row r="2" ht="31" customHeight="1">
      <c r="A2" s="2" t="inlineStr">
        <is>
          <t>12cộtđầu tương ứng schema DAUN; bổ sung input/output/errors/AC/WBS/test/rules/UC/phase/status. Không có yêu cầu nào đã được đội duyệt.</t>
        </is>
      </c>
    </row>
    <row r="4" ht="31" customHeight="1">
      <c r="A4" s="3" t="inlineStr">
        <is>
          <t>No</t>
        </is>
      </c>
      <c r="B4" s="3" t="inlineStr">
        <is>
          <t>0 Depth</t>
        </is>
      </c>
      <c r="C4" s="3" t="inlineStr">
        <is>
          <t>1 Depth</t>
        </is>
      </c>
      <c r="D4" s="3" t="inlineStr">
        <is>
          <t>2 Depth</t>
        </is>
      </c>
      <c r="E4" s="3" t="inlineStr">
        <is>
          <t>3 Depth</t>
        </is>
      </c>
      <c r="F4" s="3" t="inlineStr">
        <is>
          <t>Function / Requirement Name</t>
        </is>
      </c>
      <c r="G4" s="3" t="inlineStr">
        <is>
          <t>Requirement ID</t>
        </is>
      </c>
      <c r="H4" s="3" t="inlineStr">
        <is>
          <t>Detail / Quy tắc xử lý</t>
        </is>
      </c>
      <c r="I4" s="3" t="inlineStr">
        <is>
          <t>Category</t>
        </is>
      </c>
      <c r="J4" s="3" t="inlineStr">
        <is>
          <t>Importance</t>
        </is>
      </c>
      <c r="K4" s="3" t="inlineStr">
        <is>
          <t>Linkage / Req liên quan</t>
        </is>
      </c>
      <c r="L4" s="3" t="inlineStr">
        <is>
          <t>Note / Nguồn</t>
        </is>
      </c>
      <c r="M4" s="3" t="inlineStr">
        <is>
          <t>Input / Tiền điều kiện</t>
        </is>
      </c>
      <c r="N4" s="3" t="inlineStr">
        <is>
          <t>Output / Hậu điều kiện</t>
        </is>
      </c>
      <c r="O4" s="3" t="inlineStr">
        <is>
          <t>Validation / Ngoại lệ</t>
        </is>
      </c>
      <c r="P4" s="3" t="inlineStr">
        <is>
          <t>Acceptance Criteria</t>
        </is>
      </c>
      <c r="Q4" s="3" t="inlineStr">
        <is>
          <t>WBS IDs</t>
        </is>
      </c>
      <c r="R4" s="3" t="inlineStr">
        <is>
          <t>Test case</t>
        </is>
      </c>
      <c r="S4" s="3" t="inlineStr">
        <is>
          <t>Business Rules</t>
        </is>
      </c>
      <c r="T4" s="3" t="inlineStr">
        <is>
          <t>Use Cases</t>
        </is>
      </c>
      <c r="U4" s="3" t="inlineStr">
        <is>
          <t>Phase</t>
        </is>
      </c>
      <c r="V4" s="3" t="inlineStr">
        <is>
          <t>Status</t>
        </is>
      </c>
    </row>
    <row r="5" ht="39" customHeight="1">
      <c r="A5" s="11" t="n">
        <v>1</v>
      </c>
      <c r="B5" s="11" t="inlineStr">
        <is>
          <t>Identity</t>
        </is>
      </c>
      <c r="C5" s="11" t="inlineStr">
        <is>
          <t>Access</t>
        </is>
      </c>
      <c r="D5" s="11" t="inlineStr">
        <is>
          <t>Auth service</t>
        </is>
      </c>
      <c r="E5" s="11" t="inlineStr">
        <is>
          <t>Action</t>
        </is>
      </c>
      <c r="F5" s="11" t="inlineStr">
        <is>
          <t>Xác thực và vòng đời session</t>
        </is>
      </c>
      <c r="G5" s="11" t="inlineStr">
        <is>
          <t>SV-001</t>
        </is>
      </c>
      <c r="H5" s="11" t="inlineStr">
        <is>
          <t>Account mời; hash mật khẩu; session hết hạn/revoke; chỉ chủ sở hữu vào character; join room bắt buộc token hợp lệ.</t>
        </is>
      </c>
      <c r="I5" s="11" t="inlineStr">
        <is>
          <t>SV</t>
        </is>
      </c>
      <c r="J5" s="11" t="inlineStr">
        <is>
          <t>Must</t>
        </is>
      </c>
      <c r="K5" s="11" t="inlineStr">
        <is>
          <t>CL-001, CL-002, SV-004, SV-018</t>
        </is>
      </c>
      <c r="L5" s="11" t="inlineStr">
        <is>
          <t>Đề xuất từ ý tưởng + cụ thể hóa cho alpha</t>
        </is>
      </c>
      <c r="M5" s="11" t="inlineStr">
        <is>
          <t>Credentials/token</t>
        </is>
      </c>
      <c r="N5" s="11" t="inlineStr">
        <is>
          <t>Session/account claims</t>
        </is>
      </c>
      <c r="O5" s="11" t="inlineStr">
        <is>
          <t>Token thiếu/hết hạn/sai chữ ký:401; không tin default library</t>
        </is>
      </c>
      <c r="P5" s="11" t="inlineStr">
        <is>
          <t>Tokenless hoặc token account khác không đọc/chơi character.</t>
        </is>
      </c>
      <c r="Q5" s="11" t="inlineStr">
        <is>
          <t>T02-SV, T03-SV</t>
        </is>
      </c>
      <c r="R5" s="11" t="inlineStr">
        <is>
          <t>TC-SV-001</t>
        </is>
      </c>
      <c r="S5" s="11" t="inlineStr">
        <is>
          <t>BR-01</t>
        </is>
      </c>
      <c r="T5" s="11" t="inlineStr">
        <is>
          <t>UC-01</t>
        </is>
      </c>
      <c r="U5" s="11" t="inlineStr">
        <is>
          <t>MVP</t>
        </is>
      </c>
      <c r="V5" s="11" t="inlineStr">
        <is>
          <t>Đề xuất</t>
        </is>
      </c>
    </row>
    <row r="6" ht="39" customHeight="1">
      <c r="A6" s="12" t="n">
        <v>2</v>
      </c>
      <c r="B6" s="12" t="inlineStr">
        <is>
          <t>World</t>
        </is>
      </c>
      <c r="C6" s="12" t="inlineStr">
        <is>
          <t>Simulation</t>
        </is>
      </c>
      <c r="D6" s="12" t="inlineStr">
        <is>
          <t>World room</t>
        </is>
      </c>
      <c r="E6" s="12" t="inlineStr">
        <is>
          <t>Action</t>
        </is>
      </c>
      <c r="F6" s="12" t="inlineStr">
        <is>
          <t>Server giữ quyền quyết định</t>
        </is>
      </c>
      <c r="G6" s="12" t="inlineStr">
        <is>
          <t>SV-002</t>
        </is>
      </c>
      <c r="H6" s="12" t="inlineStr">
        <is>
          <t>Client gửi intent; server tính vị trí, target, cooldown, HP, loot, RNG; simulation20Hz mục tiêu; patch10Hz ban đầu.</t>
        </is>
      </c>
      <c r="I6" s="12" t="inlineStr">
        <is>
          <t>SV</t>
        </is>
      </c>
      <c r="J6" s="12" t="inlineStr">
        <is>
          <t>Must</t>
        </is>
      </c>
      <c r="K6" s="12" t="inlineStr">
        <is>
          <t>CL-003, CL-008, CL-009, SV-003, SV-005</t>
        </is>
      </c>
      <c r="L6" s="12" t="inlineStr">
        <is>
          <t>Đề xuất từ ý tưởng + cụ thể hóa cho alpha</t>
        </is>
      </c>
      <c r="M6" s="12" t="inlineStr">
        <is>
          <t>Intent sequence/entity IDs</t>
        </is>
      </c>
      <c r="N6" s="12" t="inlineStr">
        <is>
          <t>Validated world state/events</t>
        </is>
      </c>
      <c r="O6" s="12" t="inlineStr">
        <is>
          <t>Malformed/overspeed/outdated intent: reject và đếm metric</t>
        </is>
      </c>
      <c r="P6" s="12" t="inlineStr">
        <is>
          <t>Sửa HP/mana/position trên client không thay state server.</t>
        </is>
      </c>
      <c r="Q6" s="12" t="inlineStr">
        <is>
          <t>T04-SV, T05-SV</t>
        </is>
      </c>
      <c r="R6" s="12" t="inlineStr">
        <is>
          <t>TC-SV-002</t>
        </is>
      </c>
      <c r="S6" s="12" t="inlineStr">
        <is>
          <t>BR-02, BR-04</t>
        </is>
      </c>
      <c r="T6" s="12" t="inlineStr"/>
      <c r="U6" s="12" t="inlineStr">
        <is>
          <t>MVP</t>
        </is>
      </c>
      <c r="V6" s="12" t="inlineStr">
        <is>
          <t>Đề xuất</t>
        </is>
      </c>
    </row>
    <row r="7" ht="39" customHeight="1">
      <c r="A7" s="11" t="n">
        <v>3</v>
      </c>
      <c r="B7" s="11" t="inlineStr">
        <is>
          <t>World</t>
        </is>
      </c>
      <c r="C7" s="11" t="inlineStr">
        <is>
          <t>Replication</t>
        </is>
      </c>
      <c r="D7" s="11" t="inlineStr">
        <is>
          <t>AOI</t>
        </is>
      </c>
      <c r="E7" s="11" t="inlineStr">
        <is>
          <t>Action</t>
        </is>
      </c>
      <c r="F7" s="11" t="inlineStr">
        <is>
          <t>Lọc trạng thái theo vùng quan tâm</t>
        </is>
      </c>
      <c r="G7" s="11" t="inlineStr">
        <is>
          <t>SV-003</t>
        </is>
      </c>
      <c r="H7" s="11" t="inlineStr">
        <is>
          <t>Grid AOI bán kính 12 tile + hysteresis2 tile; gửi bản thân/entities công khai; inventory/ẩn/GM không broadcast; mỗi map≤20 người.</t>
        </is>
      </c>
      <c r="I7" s="11" t="inlineStr">
        <is>
          <t>SV</t>
        </is>
      </c>
      <c r="J7" s="11" t="inlineStr">
        <is>
          <t>Must</t>
        </is>
      </c>
      <c r="K7" s="11" t="inlineStr">
        <is>
          <t>CL-003, CL-006, CL-027, SV-002, SV-004, SV-007</t>
        </is>
      </c>
      <c r="L7" s="11" t="inlineStr">
        <is>
          <t>Đề xuất từ ý tưởng + cụ thể hóa cho alpha</t>
        </is>
      </c>
      <c r="M7" s="11" t="inlineStr">
        <is>
          <t>Entity positions/permissions</t>
        </is>
      </c>
      <c r="N7" s="11" t="inlineStr">
        <is>
          <t>Per-client view</t>
        </is>
      </c>
      <c r="O7" s="11" t="inlineStr">
        <is>
          <t>Không gửi trạng thái private kể cả full join snapshot</t>
        </is>
      </c>
      <c r="P7" s="11" t="inlineStr">
        <is>
          <t>Packet inspection không thấy túi đồ người khác hoặc entity ngoài AOI.</t>
        </is>
      </c>
      <c r="Q7" s="11" t="inlineStr">
        <is>
          <t>T04-SV, T12-SV</t>
        </is>
      </c>
      <c r="R7" s="11" t="inlineStr">
        <is>
          <t>TC-SV-003</t>
        </is>
      </c>
      <c r="S7" s="11" t="inlineStr"/>
      <c r="T7" s="11" t="inlineStr"/>
      <c r="U7" s="11" t="inlineStr">
        <is>
          <t>MVP</t>
        </is>
      </c>
      <c r="V7" s="11" t="inlineStr">
        <is>
          <t>Đề xuất</t>
        </is>
      </c>
    </row>
    <row r="8" ht="39" customHeight="1">
      <c r="A8" s="12" t="n">
        <v>4</v>
      </c>
      <c r="B8" s="12" t="inlineStr">
        <is>
          <t>World</t>
        </is>
      </c>
      <c r="C8" s="12" t="inlineStr">
        <is>
          <t>Transfer</t>
        </is>
      </c>
      <c r="D8" s="12" t="inlineStr">
        <is>
          <t>Map handoff</t>
        </is>
      </c>
      <c r="E8" s="12" t="inlineStr">
        <is>
          <t>Action</t>
        </is>
      </c>
      <c r="F8" s="12" t="inlineStr">
        <is>
          <t>Chuyển map không trùng nhân vật</t>
        </is>
      </c>
      <c r="G8" s="12" t="inlineStr">
        <is>
          <t>SV-004</t>
        </is>
      </c>
      <c r="H8" s="12" t="inlineStr">
        <is>
          <t>Reserve slot đích, đóng băng map nguồn, commit lease/version, persist checkpoint, join đích; lỗi trả về safe spawn đã lưu.</t>
        </is>
      </c>
      <c r="I8" s="12" t="inlineStr">
        <is>
          <t>SV</t>
        </is>
      </c>
      <c r="J8" s="12" t="inlineStr">
        <is>
          <t>Must</t>
        </is>
      </c>
      <c r="K8" s="12" t="inlineStr">
        <is>
          <t>CL-006, CL-027, SV-001, SV-003, SV-007, SV-018</t>
        </is>
      </c>
      <c r="L8" s="12" t="inlineStr">
        <is>
          <t>Đề xuất từ ý tưởng + cụ thể hóa cho alpha</t>
        </is>
      </c>
      <c r="M8" s="12" t="inlineStr">
        <is>
          <t>Portal, character lease</t>
        </is>
      </c>
      <c r="N8" s="12" t="inlineStr">
        <is>
          <t>Destination session/snapshot</t>
        </is>
      </c>
      <c r="O8" s="12" t="inlineStr">
        <is>
          <t>Target full, process crash, token replay: abort/recover</t>
        </is>
      </c>
      <c r="P8" s="12" t="inlineStr">
        <is>
          <t>Kill process ở từng bước: tối đa 1 writer; không mất bag/đổi tiền.</t>
        </is>
      </c>
      <c r="Q8" s="12" t="inlineStr">
        <is>
          <t>T03-SV, T12-SV</t>
        </is>
      </c>
      <c r="R8" s="12" t="inlineStr">
        <is>
          <t>TC-SV-004</t>
        </is>
      </c>
      <c r="S8" s="12" t="inlineStr">
        <is>
          <t>BR-21</t>
        </is>
      </c>
      <c r="T8" s="12" t="inlineStr">
        <is>
          <t>UC-11</t>
        </is>
      </c>
      <c r="U8" s="12" t="inlineStr">
        <is>
          <t>MVP</t>
        </is>
      </c>
      <c r="V8" s="12" t="inlineStr">
        <is>
          <t>Đề xuất</t>
        </is>
      </c>
    </row>
    <row r="9" ht="39" customHeight="1">
      <c r="A9" s="11" t="n">
        <v>5</v>
      </c>
      <c r="B9" s="11" t="inlineStr">
        <is>
          <t>Combat</t>
        </is>
      </c>
      <c r="C9" s="11" t="inlineStr">
        <is>
          <t>Resolver</t>
        </is>
      </c>
      <c r="D9" s="11" t="inlineStr">
        <is>
          <t>Combat service</t>
        </is>
      </c>
      <c r="E9" s="11" t="inlineStr">
        <is>
          <t>Action</t>
        </is>
      </c>
      <c r="F9" s="11" t="inlineStr">
        <is>
          <t>Giải quyết cast và trạng thái</t>
        </is>
      </c>
      <c r="G9" s="11" t="inlineStr">
        <is>
          <t>SV-005</t>
        </is>
      </c>
      <c r="H9" s="11" t="inlineStr">
        <is>
          <t>Check ownership/equip/rank/hunger/range/LOS/alive/mana/cooldown; mana và cooldown tiêu khi cast được accept; hủy sau accept vẫn tiêu.</t>
        </is>
      </c>
      <c r="I9" s="11" t="inlineStr">
        <is>
          <t>SV</t>
        </is>
      </c>
      <c r="J9" s="11" t="inlineStr">
        <is>
          <t>Must</t>
        </is>
      </c>
      <c r="K9" s="11" t="inlineStr">
        <is>
          <t>CL-008, CL-009, CL-015, SV-002, SV-015</t>
        </is>
      </c>
      <c r="L9" s="11" t="inlineStr">
        <is>
          <t>Đề xuất từ ý tưởng + cụ thể hóa cho alpha</t>
        </is>
      </c>
      <c r="M9" s="11" t="inlineStr">
        <is>
          <t>Cast intent/configVersion</t>
        </is>
      </c>
      <c r="N9" s="11" t="inlineStr">
        <is>
          <t>Cast result; state delta</t>
        </is>
      </c>
      <c r="O9" s="11" t="inlineStr">
        <is>
          <t>CC hoặc target invalid trước accept: không tiêu; server clock quyết định</t>
        </is>
      </c>
      <c r="P9" s="11" t="inlineStr">
        <is>
          <t>10negative cases mỗi primitive bị chặn; 1 cast không gây hit trùng.</t>
        </is>
      </c>
      <c r="Q9" s="11" t="inlineStr">
        <is>
          <t>T05-SV, T11-SV</t>
        </is>
      </c>
      <c r="R9" s="11" t="inlineStr">
        <is>
          <t>TC-SV-005</t>
        </is>
      </c>
      <c r="S9" s="11" t="inlineStr">
        <is>
          <t>BR-04, BR-05, BR-06</t>
        </is>
      </c>
      <c r="T9" s="11" t="inlineStr">
        <is>
          <t>UC-03</t>
        </is>
      </c>
      <c r="U9" s="11" t="inlineStr">
        <is>
          <t>MVP</t>
        </is>
      </c>
      <c r="V9" s="11" t="inlineStr">
        <is>
          <t>Đề xuất</t>
        </is>
      </c>
    </row>
    <row r="10" ht="39" customHeight="1">
      <c r="A10" s="12" t="n">
        <v>6</v>
      </c>
      <c r="B10" s="12" t="inlineStr">
        <is>
          <t>PvE</t>
        </is>
      </c>
      <c r="C10" s="12" t="inlineStr">
        <is>
          <t>Mob</t>
        </is>
      </c>
      <c r="D10" s="12" t="inlineStr">
        <is>
          <t>AI &amp; spawn</t>
        </is>
      </c>
      <c r="E10" s="12" t="inlineStr">
        <is>
          <t>Action</t>
        </is>
      </c>
      <c r="F10" s="12" t="inlineStr">
        <is>
          <t>AI, respawn và quyền thưởng</t>
        </is>
      </c>
      <c r="G10" s="12" t="inlineStr">
        <is>
          <t>SV-006</t>
        </is>
      </c>
      <c r="H10" s="12" t="inlineStr">
        <is>
          <t>6 normal/2 elite/1 boss; leash 8 tile; respawn normal20s/elite60s; owner là first valid hit trong encounter, reset khi leash; kill/capture độc quyền.</t>
        </is>
      </c>
      <c r="I10" s="12" t="inlineStr">
        <is>
          <t>SV</t>
        </is>
      </c>
      <c r="J10" s="12" t="inlineStr">
        <is>
          <t>Must</t>
        </is>
      </c>
      <c r="K10" s="12" t="inlineStr">
        <is>
          <t>CL-011, CL-012, CL-016, CL-017, SV-010</t>
        </is>
      </c>
      <c r="L10" s="12" t="inlineStr">
        <is>
          <t>Đề xuất từ ý tưởng + cụ thể hóa cho alpha</t>
        </is>
      </c>
      <c r="M10" s="12" t="inlineStr">
        <is>
          <t>Spawn ID, damage events</t>
        </is>
      </c>
      <c r="N10" s="12" t="inlineStr">
        <is>
          <t>AI state; durable reward intent</t>
        </is>
      </c>
      <c r="O10" s="12" t="inlineStr">
        <is>
          <t>Owner disconnect vẫn giữ10s; sau đó reset nếu không combat</t>
        </is>
      </c>
      <c r="P10" s="12" t="inlineStr">
        <is>
          <t>Leash heal/reset đúng; hai kill callbacks chỉ một terminal transition.</t>
        </is>
      </c>
      <c r="Q10" s="12" t="inlineStr">
        <is>
          <t>T06-SV, T08-SV</t>
        </is>
      </c>
      <c r="R10" s="12" t="inlineStr">
        <is>
          <t>TC-SV-006</t>
        </is>
      </c>
      <c r="S10" s="12" t="inlineStr">
        <is>
          <t>BR-08, BR-11</t>
        </is>
      </c>
      <c r="T10" s="12" t="inlineStr"/>
      <c r="U10" s="12" t="inlineStr">
        <is>
          <t>MVP</t>
        </is>
      </c>
      <c r="V10" s="12" t="inlineStr">
        <is>
          <t>Đề xuất</t>
        </is>
      </c>
    </row>
    <row r="11" ht="54" customHeight="1">
      <c r="A11" s="11" t="n">
        <v>7</v>
      </c>
      <c r="B11" s="11" t="inlineStr">
        <is>
          <t>Persistence</t>
        </is>
      </c>
      <c r="C11" s="11" t="inlineStr">
        <is>
          <t>Character</t>
        </is>
      </c>
      <c r="D11" s="11" t="inlineStr">
        <is>
          <t>Save service</t>
        </is>
      </c>
      <c r="E11" s="11" t="inlineStr">
        <is>
          <t>Action</t>
        </is>
      </c>
      <c r="F11" s="11" t="inlineStr">
        <is>
          <t>Lưu bền vững và checkpoint</t>
        </is>
      </c>
      <c r="G11" s="11" t="inlineStr">
        <is>
          <t>SV-007</t>
        </is>
      </c>
      <c r="H11" s="11" t="inlineStr">
        <is>
          <t>Bag/currency/quest/craft/claim ghi transaction trước ACK; vị trí/HP/hunger checkpoint≤30s, logout flush; crash hồi vị trí an toàn nếu cần.</t>
        </is>
      </c>
      <c r="I11" s="11" t="inlineStr">
        <is>
          <t>SV</t>
        </is>
      </c>
      <c r="J11" s="11" t="inlineStr">
        <is>
          <t>Must</t>
        </is>
      </c>
      <c r="K11" s="11" t="inlineStr">
        <is>
          <t>CL-006, CL-012, CL-013, CL-014, CL-015, CL-027, SV-003, SV-004, SV-008, SV-009</t>
        </is>
      </c>
      <c r="L11" s="11" t="inlineStr">
        <is>
          <t>Đề xuất từ ý tưởng + cụ thể hóa cho alpha</t>
        </is>
      </c>
      <c r="M11" s="11" t="inlineStr">
        <is>
          <t>Commands/snapshots</t>
        </is>
      </c>
      <c r="N11" s="11" t="inlineStr">
        <is>
          <t>Committed version/receipt</t>
        </is>
      </c>
      <c r="O11" s="11" t="inlineStr">
        <is>
          <t>DB lỗi: không ACK thành công, không cấp thưởng trước commit</t>
        </is>
      </c>
      <c r="P11" s="11" t="inlineStr">
        <is>
          <t>Kill/restart sau ACK: item/tiền còn đúng; vị trí có thể rollback≤30s.</t>
        </is>
      </c>
      <c r="Q11" s="11" t="inlineStr">
        <is>
          <t>T07-SV, T12-SV</t>
        </is>
      </c>
      <c r="R11" s="11" t="inlineStr">
        <is>
          <t>TC-SV-007</t>
        </is>
      </c>
      <c r="S11" s="11" t="inlineStr">
        <is>
          <t>BR-14, BR-21</t>
        </is>
      </c>
      <c r="T11" s="11" t="inlineStr"/>
      <c r="U11" s="11" t="inlineStr">
        <is>
          <t>MVP</t>
        </is>
      </c>
      <c r="V11" s="11" t="inlineStr">
        <is>
          <t>Đề xuất</t>
        </is>
      </c>
    </row>
    <row r="12" ht="69" customHeight="1">
      <c r="A12" s="12" t="n">
        <v>8</v>
      </c>
      <c r="B12" s="12" t="inlineStr">
        <is>
          <t>Economy</t>
        </is>
      </c>
      <c r="C12" s="12" t="inlineStr">
        <is>
          <t>Atomic command</t>
        </is>
      </c>
      <c r="D12" s="12" t="inlineStr">
        <is>
          <t>Command service</t>
        </is>
      </c>
      <c r="E12" s="12" t="inlineStr">
        <is>
          <t>Action</t>
        </is>
      </c>
      <c r="F12" s="12" t="inlineStr">
        <is>
          <t>Ledger và idempotency</t>
        </is>
      </c>
      <c r="G12" s="12" t="inlineStr">
        <is>
          <t>SV-008</t>
        </is>
      </c>
      <c r="H12" s="12" t="inlineStr">
        <is>
          <t>Unique(characterId, requestId); lock character→items tăng theo ID; validate version; tạo receipt/RNG/ledger trong cùng transaction; giữ receipt≥30 ngày.</t>
        </is>
      </c>
      <c r="I12" s="12" t="inlineStr">
        <is>
          <t>SV</t>
        </is>
      </c>
      <c r="J12" s="12" t="inlineStr">
        <is>
          <t>Must</t>
        </is>
      </c>
      <c r="K12" s="12" t="inlineStr">
        <is>
          <t>CL-012, CL-013, CL-014, CL-015, CL-018, CL-019, CL-020, CL-021, CL-022, SV-007, SV-009, SV-011, SV-012</t>
        </is>
      </c>
      <c r="L12" s="12" t="inlineStr">
        <is>
          <t>Đề xuất từ ý tưởng + cụ thể hóa cho alpha</t>
        </is>
      </c>
      <c r="M12" s="12" t="inlineStr">
        <is>
          <t>Request UUID, expectedVersion</t>
        </is>
      </c>
      <c r="N12" s="12" t="inlineStr">
        <is>
          <t>Same immutable receipt</t>
        </is>
      </c>
      <c r="O12" s="12" t="inlineStr">
        <is>
          <t>Cùng ID payload khác trả 409; deadlock retry bounded cùng ID</t>
        </is>
      </c>
      <c r="P12" s="12" t="inlineStr">
        <is>
          <t>20 retry/2 socket của craft, buy, feed chỉ một hiệu lực; ledger cân đối.</t>
        </is>
      </c>
      <c r="Q12" s="12" t="inlineStr">
        <is>
          <t>T07-SV, T09-SV, T10-SV</t>
        </is>
      </c>
      <c r="R12" s="12" t="inlineStr">
        <is>
          <t>TC-SV-008</t>
        </is>
      </c>
      <c r="S12" s="12" t="inlineStr">
        <is>
          <t>BR-14</t>
        </is>
      </c>
      <c r="T12" s="12" t="inlineStr">
        <is>
          <t>UC-07</t>
        </is>
      </c>
      <c r="U12" s="12" t="inlineStr">
        <is>
          <t>MVP</t>
        </is>
      </c>
      <c r="V12" s="12" t="inlineStr">
        <is>
          <t>Đề xuất</t>
        </is>
      </c>
    </row>
    <row r="13" ht="54" customHeight="1">
      <c r="A13" s="11" t="n">
        <v>9</v>
      </c>
      <c r="B13" s="11" t="inlineStr">
        <is>
          <t>Inventory</t>
        </is>
      </c>
      <c r="C13" s="11" t="inlineStr">
        <is>
          <t>Overflow</t>
        </is>
      </c>
      <c r="D13" s="11" t="inlineStr">
        <is>
          <t>Reward inbox</t>
        </is>
      </c>
      <c r="E13" s="11" t="inlineStr">
        <is>
          <t>Action</t>
        </is>
      </c>
      <c r="F13" s="11" t="inlineStr">
        <is>
          <t>Reward inbox khi đầy túi</t>
        </is>
      </c>
      <c r="G13" s="11" t="inlineStr">
        <is>
          <t>SV-009</t>
        </is>
      </c>
      <c r="H13" s="11" t="inlineStr">
        <is>
          <t>Chỉ server tạo reward inbox persistent;100 entry/account; không hết hạn alpha; claim nguyên tử nếu đủ ô; đầy inbox dừng nguồn reward và cảnh báo.</t>
        </is>
      </c>
      <c r="I13" s="11" t="inlineStr">
        <is>
          <t>SV</t>
        </is>
      </c>
      <c r="J13" s="11" t="inlineStr">
        <is>
          <t>Must</t>
        </is>
      </c>
      <c r="K13" s="11" t="inlineStr">
        <is>
          <t>CL-012, CL-013, CL-014, CL-015, CL-020, CL-021, CL-022, CL-029, SV-007, SV-008</t>
        </is>
      </c>
      <c r="L13" s="11" t="inlineStr">
        <is>
          <t>Đề xuất từ ý tưởng + cụ thể hóa cho alpha</t>
        </is>
      </c>
      <c r="M13" s="11" t="inlineStr">
        <is>
          <t>Reward receipt, claim request</t>
        </is>
      </c>
      <c r="N13" s="11" t="inlineStr">
        <is>
          <t>Inbox entries/items</t>
        </is>
      </c>
      <c r="O13" s="11" t="inlineStr">
        <is>
          <t>Inbox đầy không âm thầm xóa; dungeon entry bị chặn nếu thiếu capacity</t>
        </is>
      </c>
      <c r="P13" s="11" t="inlineStr">
        <is>
          <t>Bag đầy khi kill: reward còn trong inbox sau reconnect, claim 1 lần.</t>
        </is>
      </c>
      <c r="Q13" s="11" t="inlineStr">
        <is>
          <t>T07-SV, T10-CL</t>
        </is>
      </c>
      <c r="R13" s="11" t="inlineStr">
        <is>
          <t>TC-SV-009</t>
        </is>
      </c>
      <c r="S13" s="11" t="inlineStr">
        <is>
          <t>BR-09</t>
        </is>
      </c>
      <c r="T13" s="11" t="inlineStr"/>
      <c r="U13" s="11" t="inlineStr">
        <is>
          <t>MVP</t>
        </is>
      </c>
      <c r="V13" s="11" t="inlineStr">
        <is>
          <t>Đề xuất</t>
        </is>
      </c>
    </row>
    <row r="14" ht="54" customHeight="1">
      <c r="A14" s="12" t="n">
        <v>10</v>
      </c>
      <c r="B14" s="12" t="inlineStr">
        <is>
          <t>Cổ trùng</t>
        </is>
      </c>
      <c r="C14" s="12" t="inlineStr">
        <is>
          <t>Capture/feed</t>
        </is>
      </c>
      <c r="D14" s="12" t="inlineStr">
        <is>
          <t>Gu service</t>
        </is>
      </c>
      <c r="E14" s="12" t="inlineStr">
        <is>
          <t>Action</t>
        </is>
      </c>
      <c r="F14" s="12" t="inlineStr">
        <is>
          <t>Săn bắt và hunger server</t>
        </is>
      </c>
      <c r="G14" s="12" t="inlineStr">
        <is>
          <t>SV-010</t>
        </is>
      </c>
      <c r="H14" s="12" t="inlineStr">
        <is>
          <t>Claim spawn chống race; roll 70% sau channel; tiêu seal khi start; hủy không refund; hunger elapsed online dùng serverTime, inventory không equipped không giảm.</t>
        </is>
      </c>
      <c r="I14" s="12" t="inlineStr">
        <is>
          <t>SV</t>
        </is>
      </c>
      <c r="J14" s="12" t="inlineStr">
        <is>
          <t>Must</t>
        </is>
      </c>
      <c r="K14" s="12" t="inlineStr">
        <is>
          <t>CL-016, CL-017, SV-006</t>
        </is>
      </c>
      <c r="L14" s="12" t="inlineStr">
        <is>
          <t>Đề xuất từ ý tưởng + cụ thể hóa cho alpha</t>
        </is>
      </c>
      <c r="M14" s="12" t="inlineStr">
        <is>
          <t>Capture/feed intents; timers</t>
        </is>
      </c>
      <c r="N14" s="12" t="inlineStr">
        <is>
          <t>Gu instance/hunger receipt</t>
        </is>
      </c>
      <c r="O14" s="12" t="inlineStr">
        <is>
          <t>Capture successful commit rồi spawn remove; DB fail phục hồi terminal pending</t>
        </is>
      </c>
      <c r="P14" s="12" t="inlineStr">
        <is>
          <t>Feed/reconnect không reset timer để né đói;0 hunger khóa active/passive.</t>
        </is>
      </c>
      <c r="Q14" s="12" t="inlineStr">
        <is>
          <t>T08-SV</t>
        </is>
      </c>
      <c r="R14" s="12" t="inlineStr">
        <is>
          <t>TC-SV-010</t>
        </is>
      </c>
      <c r="S14" s="12" t="inlineStr">
        <is>
          <t>BR-11, BR-12</t>
        </is>
      </c>
      <c r="T14" s="12" t="inlineStr"/>
      <c r="U14" s="12" t="inlineStr">
        <is>
          <t>MVP</t>
        </is>
      </c>
      <c r="V14" s="12" t="inlineStr">
        <is>
          <t>Đề xuất</t>
        </is>
      </c>
    </row>
    <row r="15" ht="39" customHeight="1">
      <c r="A15" s="11" t="n">
        <v>11</v>
      </c>
      <c r="B15" s="11" t="inlineStr">
        <is>
          <t>Cổ trùng</t>
        </is>
      </c>
      <c r="C15" s="11" t="inlineStr">
        <is>
          <t>Refining</t>
        </is>
      </c>
      <c r="D15" s="11" t="inlineStr">
        <is>
          <t>Recipe service</t>
        </is>
      </c>
      <c r="E15" s="11" t="inlineStr">
        <is>
          <t>Action</t>
        </is>
      </c>
      <c r="F15" s="11" t="inlineStr">
        <is>
          <t>Công thức, pity và roll server</t>
        </is>
      </c>
      <c r="G15" s="11" t="inlineStr">
        <is>
          <t>SV-011</t>
        </is>
      </c>
      <c r="H15" s="11" t="inlineStr">
        <is>
          <t>Pity theo character+recipe; chance=min(100,70+10×fails); RNG server và kết quả lưu transaction; success reset fails=0; fail giữ input.</t>
        </is>
      </c>
      <c r="I15" s="11" t="inlineStr">
        <is>
          <t>SV</t>
        </is>
      </c>
      <c r="J15" s="11" t="inlineStr">
        <is>
          <t>Must</t>
        </is>
      </c>
      <c r="K15" s="11" t="inlineStr">
        <is>
          <t>CL-018, CL-019, SV-008</t>
        </is>
      </c>
      <c r="L15" s="11" t="inlineStr">
        <is>
          <t>Đề xuất từ ý tưởng + cụ thể hóa cho alpha</t>
        </is>
      </c>
      <c r="M15" s="11" t="inlineStr">
        <is>
          <t>Recipe/input IDs/configVersion</t>
        </is>
      </c>
      <c r="N15" s="11" t="inlineStr">
        <is>
          <t>Outcome/output/pity/ledger</t>
        </is>
      </c>
      <c r="O15" s="11" t="inlineStr">
        <is>
          <t>Stale preview config trả CONFIG_CHANGED trước consume; reuse input đồng thời bị lock</t>
        </is>
      </c>
      <c r="P15" s="11" t="inlineStr">
        <is>
          <t>Không output khi rollback; success tiêu 2 Gu; fail giữ 2 Gu; cả 2 mất material/fee.</t>
        </is>
      </c>
      <c r="Q15" s="11" t="inlineStr">
        <is>
          <t>T09-SV</t>
        </is>
      </c>
      <c r="R15" s="11" t="inlineStr">
        <is>
          <t>TC-SV-011</t>
        </is>
      </c>
      <c r="S15" s="11" t="inlineStr">
        <is>
          <t>BR-13, BR-14</t>
        </is>
      </c>
      <c r="T15" s="11" t="inlineStr"/>
      <c r="U15" s="11" t="inlineStr">
        <is>
          <t>MVP</t>
        </is>
      </c>
      <c r="V15" s="11" t="inlineStr">
        <is>
          <t>Đề xuất</t>
        </is>
      </c>
    </row>
    <row r="16" ht="39" customHeight="1">
      <c r="A16" s="12" t="n">
        <v>12</v>
      </c>
      <c r="B16" s="12" t="inlineStr">
        <is>
          <t>Progression</t>
        </is>
      </c>
      <c r="C16" s="12" t="inlineStr">
        <is>
          <t>Quest/XP</t>
        </is>
      </c>
      <c r="D16" s="12" t="inlineStr">
        <is>
          <t>Progress service</t>
        </is>
      </c>
      <c r="E16" s="12" t="inlineStr">
        <is>
          <t>Action</t>
        </is>
      </c>
      <c r="F16" s="12" t="inlineStr">
        <is>
          <t>XP, quest và rank-up từ event server</t>
        </is>
      </c>
      <c r="G16" s="12" t="inlineStr">
        <is>
          <t>SV-012</t>
        </is>
      </c>
      <c r="H16" s="12" t="inlineStr">
        <is>
          <t>Event ID unique; XP cumulative curve; quest chỉ event server; reward và claim cùng transaction; rank II unlock validate toàn bộ điều kiện.</t>
        </is>
      </c>
      <c r="I16" s="12" t="inlineStr">
        <is>
          <t>SV</t>
        </is>
      </c>
      <c r="J16" s="12" t="inlineStr">
        <is>
          <t>Must</t>
        </is>
      </c>
      <c r="K16" s="12" t="inlineStr">
        <is>
          <t>CL-020, CL-021, CL-022, SV-008</t>
        </is>
      </c>
      <c r="L16" s="12" t="inlineStr">
        <is>
          <t>Đề xuất từ ý tưởng + cụ thể hóa cho alpha</t>
        </is>
      </c>
      <c r="M16" s="12" t="inlineStr">
        <is>
          <t>Trusted gameplay event/claim</t>
        </is>
      </c>
      <c r="N16" s="12" t="inlineStr">
        <is>
          <t>Level/quest/rank receipt</t>
        </is>
      </c>
      <c r="O16" s="12" t="inlineStr">
        <is>
          <t>Event ID lặp bỏ qua; client tự gửi kill count bị reject</t>
        </is>
      </c>
      <c r="P16" s="12" t="inlineStr">
        <is>
          <t>Replay 100 event không tăng progress lần 2; rank-up chỉ một phí.</t>
        </is>
      </c>
      <c r="Q16" s="12" t="inlineStr">
        <is>
          <t>T10-SV</t>
        </is>
      </c>
      <c r="R16" s="12" t="inlineStr">
        <is>
          <t>TC-SV-012</t>
        </is>
      </c>
      <c r="S16" s="12" t="inlineStr">
        <is>
          <t>BR-15, BR-16</t>
        </is>
      </c>
      <c r="T16" s="12" t="inlineStr"/>
      <c r="U16" s="12" t="inlineStr">
        <is>
          <t>MVP</t>
        </is>
      </c>
      <c r="V16" s="12" t="inlineStr">
        <is>
          <t>Đề xuất</t>
        </is>
      </c>
    </row>
    <row r="17" ht="54" customHeight="1">
      <c r="A17" s="11" t="n">
        <v>13</v>
      </c>
      <c r="B17" s="11" t="inlineStr">
        <is>
          <t>Xã hội</t>
        </is>
      </c>
      <c r="C17" s="11" t="inlineStr">
        <is>
          <t>Party/chat</t>
        </is>
      </c>
      <c r="D17" s="11" t="inlineStr">
        <is>
          <t>Social service</t>
        </is>
      </c>
      <c r="E17" s="11" t="inlineStr">
        <is>
          <t>Action</t>
        </is>
      </c>
      <c r="F17" s="11" t="inlineStr">
        <is>
          <t>Party và recipient authorization</t>
        </is>
      </c>
      <c r="G17" s="11" t="inlineStr">
        <is>
          <t>SV-013</t>
        </is>
      </c>
      <c r="H17" s="11" t="inlineStr">
        <is>
          <t>Membership unique; leader state; invite TTL; text sanitize/escape; channel kiểm tra membership; persist report không lưu token/password.</t>
        </is>
      </c>
      <c r="I17" s="11" t="inlineStr">
        <is>
          <t>SV</t>
        </is>
      </c>
      <c r="J17" s="11" t="inlineStr">
        <is>
          <t>Must</t>
        </is>
      </c>
      <c r="K17" s="11" t="inlineStr">
        <is>
          <t>AD-001, AD-002, AD-003, AD-004, AD-005, AD-006, AD-007, CL-023, CL-024, SV-015, SV-016, SV-017</t>
        </is>
      </c>
      <c r="L17" s="11" t="inlineStr">
        <is>
          <t>Đề xuất từ ý tưởng + cụ thể hóa cho alpha</t>
        </is>
      </c>
      <c r="M17" s="11" t="inlineStr">
        <is>
          <t>Invite/chat/report</t>
        </is>
      </c>
      <c r="N17" s="11" t="inlineStr">
        <is>
          <t>Roster/message/report</t>
        </is>
      </c>
      <c r="O17" s="11" t="inlineStr">
        <is>
          <t>Kick/leave làm mất quyền party ngay; message rate limited</t>
        </is>
      </c>
      <c r="P17" s="11" t="inlineStr">
        <is>
          <t>User ngoài party không nghe/đọc được party channel; invite replay vô hiệu.</t>
        </is>
      </c>
      <c r="Q17" s="11" t="inlineStr">
        <is>
          <t>T13-SV, T16-SV</t>
        </is>
      </c>
      <c r="R17" s="11" t="inlineStr">
        <is>
          <t>TC-SV-013</t>
        </is>
      </c>
      <c r="S17" s="11" t="inlineStr">
        <is>
          <t>BR-17, BR-18</t>
        </is>
      </c>
      <c r="T17" s="11" t="inlineStr"/>
      <c r="U17" s="11" t="inlineStr">
        <is>
          <t>MVP</t>
        </is>
      </c>
      <c r="V17" s="11" t="inlineStr">
        <is>
          <t>Đề xuất</t>
        </is>
      </c>
    </row>
    <row r="18" ht="39" customHeight="1">
      <c r="A18" s="12" t="n">
        <v>14</v>
      </c>
      <c r="B18" s="12" t="inlineStr">
        <is>
          <t>PvE/PvP</t>
        </is>
      </c>
      <c r="C18" s="12" t="inlineStr">
        <is>
          <t>Instances</t>
        </is>
      </c>
      <c r="D18" s="12" t="inlineStr">
        <is>
          <t>Instance service</t>
        </is>
      </c>
      <c r="E18" s="12" t="inlineStr">
        <is>
          <t>Action</t>
        </is>
      </c>
      <c r="F18" s="12" t="inlineStr">
        <is>
          <t>Dungeon và duel state machine</t>
        </is>
      </c>
      <c r="G18" s="12" t="inlineStr">
        <is>
          <t>SV-014</t>
        </is>
      </c>
      <c r="H18" s="12" t="inlineStr">
        <is>
          <t>Dungeon: created→ready→running→won/failed→closed; arena tương tự; fixed roster; key(runId, charId, rewardType) unique.</t>
        </is>
      </c>
      <c r="I18" s="12" t="inlineStr">
        <is>
          <t>SV</t>
        </is>
      </c>
      <c r="J18" s="12" t="inlineStr">
        <is>
          <t>Must</t>
        </is>
      </c>
      <c r="K18" s="12" t="inlineStr">
        <is>
          <t>CL-025, CL-026</t>
        </is>
      </c>
      <c r="L18" s="12" t="inlineStr">
        <is>
          <t>Đề xuất từ ý tưởng + cụ thể hóa cho alpha</t>
        </is>
      </c>
      <c r="M18" s="12" t="inlineStr">
        <is>
          <t>Entry/ready/timers/combat</t>
        </is>
      </c>
      <c r="N18" s="12" t="inlineStr">
        <is>
          <t>Run/match state; receipts</t>
        </is>
      </c>
      <c r="O18" s="12" t="inlineStr">
        <is>
          <t>Boss reward pending được retry; đấu trường disconnect30s thua; không rank rewards</t>
        </is>
      </c>
      <c r="P18" s="12" t="inlineStr">
        <is>
          <t>Repeated completion không cấp thêm loot; orphan rooms cleanup≤60s.</t>
        </is>
      </c>
      <c r="Q18" s="12" t="inlineStr">
        <is>
          <t>T14-SV, T15-SV</t>
        </is>
      </c>
      <c r="R18" s="12" t="inlineStr">
        <is>
          <t>TC-SV-014</t>
        </is>
      </c>
      <c r="S18" s="12" t="inlineStr">
        <is>
          <t>BR-19, BR-20</t>
        </is>
      </c>
      <c r="T18" s="12" t="inlineStr">
        <is>
          <t>UC-13, UC-14</t>
        </is>
      </c>
      <c r="U18" s="12" t="inlineStr">
        <is>
          <t>MVP</t>
        </is>
      </c>
      <c r="V18" s="12" t="inlineStr">
        <is>
          <t>Đề xuất</t>
        </is>
      </c>
    </row>
    <row r="19" ht="69" customHeight="1">
      <c r="A19" s="11" t="n">
        <v>15</v>
      </c>
      <c r="B19" s="11" t="inlineStr">
        <is>
          <t>Content</t>
        </is>
      </c>
      <c r="C19" s="11" t="inlineStr">
        <is>
          <t>Configuration</t>
        </is>
      </c>
      <c r="D19" s="11" t="inlineStr">
        <is>
          <t>Catalog pipeline</t>
        </is>
      </c>
      <c r="E19" s="11" t="inlineStr">
        <is>
          <t>Action</t>
        </is>
      </c>
      <c r="F19" s="11" t="inlineStr">
        <is>
          <t>Data-driven và config version</t>
        </is>
      </c>
      <c r="G19" s="11" t="inlineStr">
        <is>
          <t>SV-015</t>
        </is>
      </c>
      <c r="H19" s="11" t="inlineStr">
        <is>
          <t>Gu/item/mob/map/quest/recipe bằng JSON/CSV có schema; build kiểm tra foreign keys; publish immutable version; room đang chạy giữ version cũ tới restart.</t>
        </is>
      </c>
      <c r="I19" s="11" t="inlineStr">
        <is>
          <t>SV</t>
        </is>
      </c>
      <c r="J19" s="11" t="inlineStr">
        <is>
          <t>Must</t>
        </is>
      </c>
      <c r="K19" s="11" t="inlineStr">
        <is>
          <t>AD-001, AD-002, AD-003, AD-004, AD-005, AD-006, AD-007, CL-015, CL-024, SV-005, SV-013, SV-016, SV-017</t>
        </is>
      </c>
      <c r="L19" s="11" t="inlineStr">
        <is>
          <t>Đề xuất từ ý tưởng + cụ thể hóa cho alpha</t>
        </is>
      </c>
      <c r="M19" s="11" t="inlineStr">
        <is>
          <t>Validated catalog/version</t>
        </is>
      </c>
      <c r="N19" s="11" t="inlineStr">
        <is>
          <t>Immutable bundle; validation report</t>
        </is>
      </c>
      <c r="O19" s="11" t="inlineStr">
        <is>
          <t>Recipe input/output thiếu: fail build; không hotpatch giữa craft</t>
        </is>
      </c>
      <c r="P19" s="11" t="inlineStr">
        <is>
          <t>1 cấu hình lỗi bị chặn; rollback về version trước khôi phục đúng catalog.</t>
        </is>
      </c>
      <c r="Q19" s="11" t="inlineStr">
        <is>
          <t>T11-SV, T16-SV</t>
        </is>
      </c>
      <c r="R19" s="11" t="inlineStr">
        <is>
          <t>TC-SV-015</t>
        </is>
      </c>
      <c r="S19" s="11" t="inlineStr"/>
      <c r="T19" s="11" t="inlineStr"/>
      <c r="U19" s="11" t="inlineStr">
        <is>
          <t>MVP</t>
        </is>
      </c>
      <c r="V19" s="11" t="inlineStr">
        <is>
          <t>Đề xuất</t>
        </is>
      </c>
    </row>
    <row r="20" ht="54" customHeight="1">
      <c r="A20" s="12" t="n">
        <v>16</v>
      </c>
      <c r="B20" s="12" t="inlineStr">
        <is>
          <t>Vận hành</t>
        </is>
      </c>
      <c r="C20" s="12" t="inlineStr">
        <is>
          <t>Telemetry</t>
        </is>
      </c>
      <c r="D20" s="12" t="inlineStr">
        <is>
          <t>Metrics/logs</t>
        </is>
      </c>
      <c r="E20" s="12" t="inlineStr">
        <is>
          <t>Action</t>
        </is>
      </c>
      <c r="F20" s="12" t="inlineStr">
        <is>
          <t>Metrics, log và economy events</t>
        </is>
      </c>
      <c r="G20" s="12" t="inlineStr">
        <is>
          <t>SV-016</t>
        </is>
      </c>
      <c r="H20" s="12" t="inlineStr">
        <is>
          <t>Theo dõi CCU/map, tick p95, intent rejection, DB latency, duplicate request, source/sink, funnel tutorial; correlationID xuyên command; không log secret.</t>
        </is>
      </c>
      <c r="I20" s="12" t="inlineStr">
        <is>
          <t>SV</t>
        </is>
      </c>
      <c r="J20" s="12" t="inlineStr">
        <is>
          <t>Must</t>
        </is>
      </c>
      <c r="K20" s="12" t="inlineStr">
        <is>
          <t>AD-001, AD-002, AD-003, AD-004, AD-005, AD-006, AD-007, CL-024, SV-013, SV-015, SV-017, SV-018</t>
        </is>
      </c>
      <c r="L20" s="12" t="inlineStr">
        <is>
          <t>Đề xuất từ ý tưởng + cụ thể hóa cho alpha</t>
        </is>
      </c>
      <c r="M20" s="12" t="inlineStr">
        <is>
          <t>Server events/counters</t>
        </is>
      </c>
      <c r="N20" s="12" t="inlineStr">
        <is>
          <t>Dashboard/logs/export</t>
        </is>
      </c>
      <c r="O20" s="12" t="inlineStr">
        <is>
          <t>Log endpoint không public; không dùng analytics làm nguồn inventory</t>
        </is>
      </c>
      <c r="P20" s="12" t="inlineStr">
        <is>
          <t>Tra một craft receipt thấy request/ledger/config; có alert DB unavailable/tick trễ.</t>
        </is>
      </c>
      <c r="Q20" s="12" t="inlineStr">
        <is>
          <t>T16-SV, T17-SV</t>
        </is>
      </c>
      <c r="R20" s="12" t="inlineStr">
        <is>
          <t>TC-SV-016</t>
        </is>
      </c>
      <c r="S20" s="12" t="inlineStr"/>
      <c r="T20" s="12" t="inlineStr"/>
      <c r="U20" s="12" t="inlineStr">
        <is>
          <t>MVP</t>
        </is>
      </c>
      <c r="V20" s="12" t="inlineStr">
        <is>
          <t>Đề xuất</t>
        </is>
      </c>
    </row>
    <row r="21" ht="54" customHeight="1">
      <c r="A21" s="11" t="n">
        <v>17</v>
      </c>
      <c r="B21" s="11" t="inlineStr">
        <is>
          <t>Vận hành</t>
        </is>
      </c>
      <c r="C21" s="11" t="inlineStr">
        <is>
          <t>Deploy/restore</t>
        </is>
      </c>
      <c r="D21" s="11" t="inlineStr">
        <is>
          <t>Private alpha</t>
        </is>
      </c>
      <c r="E21" s="11" t="inlineStr">
        <is>
          <t>Action</t>
        </is>
      </c>
      <c r="F21" s="11" t="inlineStr">
        <is>
          <t>Backup, restore và rollback</t>
        </is>
      </c>
      <c r="G21" s="11" t="inlineStr">
        <is>
          <t>SV-017</t>
        </is>
      </c>
      <c r="H21" s="11" t="inlineStr">
        <is>
          <t>Private staging/local trước; daily DB snapshot + trước release; giữ 7 daily/4 weekly; restore diễn tập; schema migration tương thích rollback.</t>
        </is>
      </c>
      <c r="I21" s="11" t="inlineStr">
        <is>
          <t>SV</t>
        </is>
      </c>
      <c r="J21" s="11" t="inlineStr">
        <is>
          <t>Must</t>
        </is>
      </c>
      <c r="K21" s="11" t="inlineStr">
        <is>
          <t>AD-001, AD-002, AD-003, AD-004, AD-005, AD-006, AD-007, CL-024, SV-013, SV-015, SV-016</t>
        </is>
      </c>
      <c r="L21" s="11" t="inlineStr">
        <is>
          <t>Đề xuất từ ý tưởng + cụ thể hóa cho alpha</t>
        </is>
      </c>
      <c r="M21" s="11" t="inlineStr">
        <is>
          <t>DB backup/tag/runbook</t>
        </is>
      </c>
      <c r="N21" s="11" t="inlineStr">
        <is>
          <t>Restore report/release tag</t>
        </is>
      </c>
      <c r="O21" s="11" t="inlineStr">
        <is>
          <t>Không restore đè môi trường live khi chưa cô lập; go/no-go khi NFR fail</t>
        </is>
      </c>
      <c r="P21" s="11" t="inlineStr">
        <is>
          <t>Restore vào DB rỗng đạt RTO≤2h/RPO≤24h; restart crash khác disaster restore.</t>
        </is>
      </c>
      <c r="Q21" s="11" t="inlineStr">
        <is>
          <t>T16-SV, T18-SV</t>
        </is>
      </c>
      <c r="R21" s="11" t="inlineStr">
        <is>
          <t>TC-SV-017</t>
        </is>
      </c>
      <c r="S21" s="11" t="inlineStr"/>
      <c r="T21" s="11" t="inlineStr"/>
      <c r="U21" s="11" t="inlineStr">
        <is>
          <t>MVP</t>
        </is>
      </c>
      <c r="V21" s="11" t="inlineStr">
        <is>
          <t>Đề xuất</t>
        </is>
      </c>
    </row>
    <row r="22" ht="39" customHeight="1">
      <c r="A22" s="12" t="n">
        <v>18</v>
      </c>
      <c r="B22" s="12" t="inlineStr">
        <is>
          <t>Bảo vệ</t>
        </is>
      </c>
      <c r="C22" s="12" t="inlineStr">
        <is>
          <t>Validation</t>
        </is>
      </c>
      <c r="D22" s="12" t="inlineStr">
        <is>
          <t>Protocol guard</t>
        </is>
      </c>
      <c r="E22" s="12" t="inlineStr">
        <is>
          <t>Action</t>
        </is>
      </c>
      <c r="F22" s="12" t="inlineStr">
        <is>
          <t>Schema, quota và session fencing</t>
        </is>
      </c>
      <c r="G22" s="12" t="inlineStr">
        <is>
          <t>SV-018</t>
        </is>
      </c>
      <c r="H22" s="12" t="inlineStr">
        <is>
          <t>Mọi message schema allowlist, max payload8KB; intents ≤20/s burst 40; cast theo cooldown; thiếu auth reject; lease token chống 2 writer.</t>
        </is>
      </c>
      <c r="I22" s="12" t="inlineStr">
        <is>
          <t>SV</t>
        </is>
      </c>
      <c r="J22" s="12" t="inlineStr">
        <is>
          <t>Must</t>
        </is>
      </c>
      <c r="K22" s="12" t="inlineStr">
        <is>
          <t>SV-001, SV-004, SV-016</t>
        </is>
      </c>
      <c r="L22" s="12" t="inlineStr">
        <is>
          <t>Đề xuất từ ý tưởng + cụ thể hóa cho alpha</t>
        </is>
      </c>
      <c r="M22" s="12" t="inlineStr">
        <is>
          <t>Token/payload/sequence/lease</t>
        </is>
      </c>
      <c r="N22" s="12" t="inlineStr">
        <is>
          <t>Authorized validated command</t>
        </is>
      </c>
      <c r="O22" s="12" t="inlineStr">
        <is>
          <t>Stale lease/oversize/message lạ: reject, audit, close nếu spam</t>
        </is>
      </c>
      <c r="P22" s="12" t="inlineStr">
        <is>
          <t>Fuzz malformed không crash; stale room không ghi DB; người chơi không vào GM API.</t>
        </is>
      </c>
      <c r="Q22" s="12" t="inlineStr">
        <is>
          <t>T03-SV, T17-SV</t>
        </is>
      </c>
      <c r="R22" s="12" t="inlineStr">
        <is>
          <t>TC-SV-018</t>
        </is>
      </c>
      <c r="S22" s="12" t="inlineStr">
        <is>
          <t>BR-01, BR-14, BR-18</t>
        </is>
      </c>
      <c r="T22" s="12" t="inlineStr"/>
      <c r="U22" s="12" t="inlineStr">
        <is>
          <t>MVP</t>
        </is>
      </c>
      <c r="V22" s="12" t="inlineStr">
        <is>
          <t>Đề xuất</t>
        </is>
      </c>
    </row>
  </sheetData>
  <autoFilter ref="A4:V22"/>
  <mergeCells count="2">
    <mergeCell ref="A2:V2"/>
    <mergeCell ref="A1:V1"/>
  </mergeCells>
  <dataValidations count="1">
    <dataValidation sqref="V5:V22" showDropDown="0" showInputMessage="0" showErrorMessage="1" allowBlank="0" errorTitle="Giá trị chưa hợp lệ" error="Chọn một giá trị trong danh sách." type="list">
      <formula1>"Đề xuất,Đã chốt,Đang làm,Hoàn thành,Hoãn"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V11"/>
  <sheetViews>
    <sheetView showGridLines="0" workbookViewId="0">
      <pane xSplit="7" ySplit="4" topLeftCell="H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9" customWidth="1" min="3" max="3"/>
    <col width="19" customWidth="1" min="4" max="4"/>
    <col width="13" customWidth="1" min="5" max="5"/>
    <col width="35" customWidth="1" min="6" max="6"/>
    <col width="17" customWidth="1" min="7" max="7"/>
    <col width="80" customWidth="1" min="8" max="8"/>
    <col width="13" customWidth="1" min="9" max="9"/>
    <col width="15" customWidth="1" min="10" max="10"/>
    <col width="35" customWidth="1" min="11" max="11"/>
    <col width="38" customWidth="1" min="12" max="12"/>
    <col width="45" customWidth="1" min="13" max="13"/>
    <col width="45" customWidth="1" min="14" max="14"/>
    <col width="60" customWidth="1" min="15" max="15"/>
    <col width="75" customWidth="1" min="16" max="16"/>
    <col width="31" customWidth="1" min="17" max="17"/>
    <col width="20" customWidth="1" min="18" max="18"/>
    <col width="24" customWidth="1" min="19" max="19"/>
    <col width="20" customWidth="1" min="20" max="20"/>
    <col width="15" customWidth="1" min="21" max="21"/>
    <col width="18" customWidth="1" min="22" max="22"/>
  </cols>
  <sheetData>
    <row r="1" ht="34" customHeight="1">
      <c r="A1" s="1" t="inlineStr">
        <is>
          <t>05 / FSD — GM / Admin</t>
        </is>
      </c>
    </row>
    <row r="2" ht="31" customHeight="1">
      <c r="A2" s="2" t="inlineStr">
        <is>
          <t>12cộtđầu tương ứng schema DAUN; bổ sung input/output/errors/AC/WBS/test/rules/UC/phase/status. Không có yêu cầu nào đã được đội duyệt.</t>
        </is>
      </c>
    </row>
    <row r="4" ht="31" customHeight="1">
      <c r="A4" s="3" t="inlineStr">
        <is>
          <t>No</t>
        </is>
      </c>
      <c r="B4" s="3" t="inlineStr">
        <is>
          <t>0 Depth</t>
        </is>
      </c>
      <c r="C4" s="3" t="inlineStr">
        <is>
          <t>1 Depth</t>
        </is>
      </c>
      <c r="D4" s="3" t="inlineStr">
        <is>
          <t>2 Depth</t>
        </is>
      </c>
      <c r="E4" s="3" t="inlineStr">
        <is>
          <t>3 Depth</t>
        </is>
      </c>
      <c r="F4" s="3" t="inlineStr">
        <is>
          <t>Function / Requirement Name</t>
        </is>
      </c>
      <c r="G4" s="3" t="inlineStr">
        <is>
          <t>Requirement ID</t>
        </is>
      </c>
      <c r="H4" s="3" t="inlineStr">
        <is>
          <t>Detail / Quy tắc xử lý</t>
        </is>
      </c>
      <c r="I4" s="3" t="inlineStr">
        <is>
          <t>Category</t>
        </is>
      </c>
      <c r="J4" s="3" t="inlineStr">
        <is>
          <t>Importance</t>
        </is>
      </c>
      <c r="K4" s="3" t="inlineStr">
        <is>
          <t>Linkage / Req liên quan</t>
        </is>
      </c>
      <c r="L4" s="3" t="inlineStr">
        <is>
          <t>Note / Nguồn</t>
        </is>
      </c>
      <c r="M4" s="3" t="inlineStr">
        <is>
          <t>Input / Tiền điều kiện</t>
        </is>
      </c>
      <c r="N4" s="3" t="inlineStr">
        <is>
          <t>Output / Hậu điều kiện</t>
        </is>
      </c>
      <c r="O4" s="3" t="inlineStr">
        <is>
          <t>Validation / Ngoại lệ</t>
        </is>
      </c>
      <c r="P4" s="3" t="inlineStr">
        <is>
          <t>Acceptance Criteria</t>
        </is>
      </c>
      <c r="Q4" s="3" t="inlineStr">
        <is>
          <t>WBS IDs</t>
        </is>
      </c>
      <c r="R4" s="3" t="inlineStr">
        <is>
          <t>Test case</t>
        </is>
      </c>
      <c r="S4" s="3" t="inlineStr">
        <is>
          <t>Business Rules</t>
        </is>
      </c>
      <c r="T4" s="3" t="inlineStr">
        <is>
          <t>Use Cases</t>
        </is>
      </c>
      <c r="U4" s="3" t="inlineStr">
        <is>
          <t>Phase</t>
        </is>
      </c>
      <c r="V4" s="3" t="inlineStr">
        <is>
          <t>Status</t>
        </is>
      </c>
    </row>
    <row r="5" ht="54" customHeight="1">
      <c r="A5" s="11" t="n">
        <v>1</v>
      </c>
      <c r="B5" s="11" t="inlineStr">
        <is>
          <t>GM</t>
        </is>
      </c>
      <c r="C5" s="11" t="inlineStr">
        <is>
          <t>Quyền truy cập</t>
        </is>
      </c>
      <c r="D5" s="11" t="inlineStr">
        <is>
          <t>Admin login</t>
        </is>
      </c>
      <c r="E5" s="11" t="inlineStr">
        <is>
          <t>Action</t>
        </is>
      </c>
      <c r="F5" s="11" t="inlineStr">
        <is>
          <t>Đăng nhập GM và RBAC</t>
        </is>
      </c>
      <c r="G5" s="11" t="inlineStr">
        <is>
          <t>AD-001</t>
        </is>
      </c>
      <c r="H5" s="11" t="inlineStr">
        <is>
          <t>Role GM_READ, GM_MOD, GM_OWNER; chỉ OWNER cấp role; kiểm tra server từng endpoint; tài khoản game không mặc định vào admin.</t>
        </is>
      </c>
      <c r="I5" s="11" t="inlineStr">
        <is>
          <t>AD</t>
        </is>
      </c>
      <c r="J5" s="11" t="inlineStr">
        <is>
          <t>Must</t>
        </is>
      </c>
      <c r="K5" s="11" t="inlineStr">
        <is>
          <t>AD-002, AD-003, AD-004, AD-005, AD-006, AD-007, CL-024, CL-028, SV-013, SV-015, SV-016, SV-017</t>
        </is>
      </c>
      <c r="L5" s="11" t="inlineStr">
        <is>
          <t>Đề xuất từ ý tưởng + cụ thể hóa cho alpha</t>
        </is>
      </c>
      <c r="M5" s="11" t="inlineStr">
        <is>
          <t>Admin credentials/role</t>
        </is>
      </c>
      <c r="N5" s="11" t="inlineStr">
        <is>
          <t>Authorized admin session</t>
        </is>
      </c>
      <c r="O5" s="11" t="inlineStr">
        <is>
          <t>403 dù client tự sửa role; revoke có hiệu lực khi gọi tiếp</t>
        </is>
      </c>
      <c r="P5" s="11" t="inlineStr">
        <is>
          <t>Player và GM_READ không ban/grant; mọi thao tác đặc quyền có audit.</t>
        </is>
      </c>
      <c r="Q5" s="11" t="inlineStr">
        <is>
          <t>T16-CL, T16-SV</t>
        </is>
      </c>
      <c r="R5" s="11" t="inlineStr">
        <is>
          <t>TC-AD-001</t>
        </is>
      </c>
      <c r="S5" s="11" t="inlineStr"/>
      <c r="T5" s="11" t="inlineStr"/>
      <c r="U5" s="11" t="inlineStr">
        <is>
          <t>MVP</t>
        </is>
      </c>
      <c r="V5" s="11" t="inlineStr">
        <is>
          <t>Đề xuất</t>
        </is>
      </c>
    </row>
    <row r="6" ht="54" customHeight="1">
      <c r="A6" s="12" t="n">
        <v>2</v>
      </c>
      <c r="B6" s="12" t="inlineStr">
        <is>
          <t>GM</t>
        </is>
      </c>
      <c r="C6" s="12" t="inlineStr">
        <is>
          <t>Tra cứu</t>
        </is>
      </c>
      <c r="D6" s="12" t="inlineStr">
        <is>
          <t>Player detail</t>
        </is>
      </c>
      <c r="E6" s="12" t="inlineStr">
        <is>
          <t>Action</t>
        </is>
      </c>
      <c r="F6" s="12" t="inlineStr">
        <is>
          <t>Tra cứu nhân vật và receipt</t>
        </is>
      </c>
      <c r="G6" s="12" t="inlineStr">
        <is>
          <t>AD-002</t>
        </is>
      </c>
      <c r="H6" s="12" t="inlineStr">
        <is>
          <t>Tìm theo characterId/name; xem level/rank/bag/loadout/ledger/quest/session; read-only; che thông tin nhạy cảm.</t>
        </is>
      </c>
      <c r="I6" s="12" t="inlineStr">
        <is>
          <t>AD</t>
        </is>
      </c>
      <c r="J6" s="12" t="inlineStr">
        <is>
          <t>Must</t>
        </is>
      </c>
      <c r="K6" s="12" t="inlineStr">
        <is>
          <t>AD-001, AD-003, AD-004, AD-005, AD-006, AD-007, CL-024, CL-028, SV-013, SV-015, SV-016, SV-017</t>
        </is>
      </c>
      <c r="L6" s="12" t="inlineStr">
        <is>
          <t>Đề xuất từ ý tưởng + cụ thể hóa cho alpha</t>
        </is>
      </c>
      <c r="M6" s="12" t="inlineStr">
        <is>
          <t>Search/filter/page</t>
        </is>
      </c>
      <c r="N6" s="12" t="inlineStr">
        <is>
          <t>Paginated profile/log</t>
        </is>
      </c>
      <c r="O6" s="12" t="inlineStr">
        <is>
          <t>Không tìm thấy: empty; không hiển thị password/token</t>
        </is>
      </c>
      <c r="P6" s="12" t="inlineStr">
        <is>
          <t>GM_READ xem được lịch sử craft bằng requestId mà không sửa dữ liệu.</t>
        </is>
      </c>
      <c r="Q6" s="12" t="inlineStr">
        <is>
          <t>T16-CL, T16-SV</t>
        </is>
      </c>
      <c r="R6" s="12" t="inlineStr">
        <is>
          <t>TC-AD-002</t>
        </is>
      </c>
      <c r="S6" s="12" t="inlineStr"/>
      <c r="T6" s="12" t="inlineStr"/>
      <c r="U6" s="12" t="inlineStr">
        <is>
          <t>MVP</t>
        </is>
      </c>
      <c r="V6" s="12" t="inlineStr">
        <is>
          <t>Đề xuất</t>
        </is>
      </c>
    </row>
    <row r="7" ht="54" customHeight="1">
      <c r="A7" s="11" t="n">
        <v>3</v>
      </c>
      <c r="B7" s="11" t="inlineStr">
        <is>
          <t>GM</t>
        </is>
      </c>
      <c r="C7" s="11" t="inlineStr">
        <is>
          <t>Kiểm duyệt</t>
        </is>
      </c>
      <c r="D7" s="11" t="inlineStr">
        <is>
          <t>Moderation</t>
        </is>
      </c>
      <c r="E7" s="11" t="inlineStr">
        <is>
          <t>Action</t>
        </is>
      </c>
      <c r="F7" s="11" t="inlineStr">
        <is>
          <t>Mute/ban và xử lý report</t>
        </is>
      </c>
      <c r="G7" s="11" t="inlineStr">
        <is>
          <t>AD-003</t>
        </is>
      </c>
      <c r="H7" s="11" t="inlineStr">
        <is>
          <t>GM_MOD mute/ban có lý do, thời hạn; kick session active; report kèm messageID; unban có audit.</t>
        </is>
      </c>
      <c r="I7" s="11" t="inlineStr">
        <is>
          <t>AD</t>
        </is>
      </c>
      <c r="J7" s="11" t="inlineStr">
        <is>
          <t>Must</t>
        </is>
      </c>
      <c r="K7" s="11" t="inlineStr">
        <is>
          <t>AD-001, AD-002, AD-004, AD-005, AD-006, AD-007, CL-024, CL-028, SV-013, SV-015, SV-016, SV-017</t>
        </is>
      </c>
      <c r="L7" s="11" t="inlineStr">
        <is>
          <t>Đề xuất từ ý tưởng + cụ thể hóa cho alpha</t>
        </is>
      </c>
      <c r="M7" s="11" t="inlineStr">
        <is>
          <t>Target, action, reason, expiry</t>
        </is>
      </c>
      <c r="N7" s="11" t="inlineStr">
        <is>
          <t>Moderation record/session revoke</t>
        </is>
      </c>
      <c r="O7" s="11" t="inlineStr">
        <is>
          <t>Reason rỗng/expiry sai: reject</t>
        </is>
      </c>
      <c r="P7" s="11" t="inlineStr">
        <is>
          <t>Banned không join lại; mute không gửi chat; hết hạn tự gỡ.</t>
        </is>
      </c>
      <c r="Q7" s="11" t="inlineStr">
        <is>
          <t>T16-CL, T16-SV</t>
        </is>
      </c>
      <c r="R7" s="11" t="inlineStr">
        <is>
          <t>TC-AD-003</t>
        </is>
      </c>
      <c r="S7" s="11" t="inlineStr"/>
      <c r="T7" s="11" t="inlineStr"/>
      <c r="U7" s="11" t="inlineStr">
        <is>
          <t>MVP</t>
        </is>
      </c>
      <c r="V7" s="11" t="inlineStr">
        <is>
          <t>Đề xuất</t>
        </is>
      </c>
    </row>
    <row r="8" ht="54" customHeight="1">
      <c r="A8" s="12" t="n">
        <v>4</v>
      </c>
      <c r="B8" s="12" t="inlineStr">
        <is>
          <t>GM</t>
        </is>
      </c>
      <c r="C8" s="12" t="inlineStr">
        <is>
          <t>Hỗ trợ</t>
        </is>
      </c>
      <c r="D8" s="12" t="inlineStr">
        <is>
          <t>Grant item</t>
        </is>
      </c>
      <c r="E8" s="12" t="inlineStr">
        <is>
          <t>Action</t>
        </is>
      </c>
      <c r="F8" s="12" t="inlineStr">
        <is>
          <t>Cấp vật phẩm có kiểm soát</t>
        </is>
      </c>
      <c r="G8" s="12" t="inlineStr">
        <is>
          <t>AD-004</t>
        </is>
      </c>
      <c r="H8" s="12" t="inlineStr">
        <is>
          <t>OWNER grant theo catalog/qty; lý do bắt buộc; preview; unique requestId; server gửi inbox khi bag đầy; không edit DB trực tiếp.</t>
        </is>
      </c>
      <c r="I8" s="12" t="inlineStr">
        <is>
          <t>AD</t>
        </is>
      </c>
      <c r="J8" s="12" t="inlineStr">
        <is>
          <t>Must</t>
        </is>
      </c>
      <c r="K8" s="12" t="inlineStr">
        <is>
          <t>AD-001, AD-002, AD-003, AD-005, AD-006, AD-007, CL-024, CL-028, SV-013, SV-015, SV-016, SV-017</t>
        </is>
      </c>
      <c r="L8" s="12" t="inlineStr">
        <is>
          <t>Đề xuất từ ý tưởng + cụ thể hóa cho alpha</t>
        </is>
      </c>
      <c r="M8" s="12" t="inlineStr">
        <is>
          <t>Character, item, qty, reason, UUID</t>
        </is>
      </c>
      <c r="N8" s="12" t="inlineStr">
        <is>
          <t>Grant receipt/audit/inbox</t>
        </is>
      </c>
      <c r="O8" s="12" t="inlineStr">
        <is>
          <t>GM_MOD bị 403; ID lặp không cấp thêm</t>
        </is>
      </c>
      <c r="P8" s="12" t="inlineStr">
        <is>
          <t>Grant bị lặp chỉ 1 receipt; tra được người làm/lý do/giá trị trước-sau.</t>
        </is>
      </c>
      <c r="Q8" s="12" t="inlineStr">
        <is>
          <t>T16-CL, T16-SV</t>
        </is>
      </c>
      <c r="R8" s="12" t="inlineStr">
        <is>
          <t>TC-AD-004</t>
        </is>
      </c>
      <c r="S8" s="12" t="inlineStr">
        <is>
          <t>BR-14</t>
        </is>
      </c>
      <c r="T8" s="12" t="inlineStr"/>
      <c r="U8" s="12" t="inlineStr">
        <is>
          <t>MVP</t>
        </is>
      </c>
      <c r="V8" s="12" t="inlineStr">
        <is>
          <t>Đề xuất</t>
        </is>
      </c>
    </row>
    <row r="9" ht="54" customHeight="1">
      <c r="A9" s="11" t="n">
        <v>5</v>
      </c>
      <c r="B9" s="11" t="inlineStr">
        <is>
          <t>GM</t>
        </is>
      </c>
      <c r="C9" s="11" t="inlineStr">
        <is>
          <t>Cấu hình</t>
        </is>
      </c>
      <c r="D9" s="11" t="inlineStr">
        <is>
          <t>Publish</t>
        </is>
      </c>
      <c r="E9" s="11" t="inlineStr">
        <is>
          <t>Action</t>
        </is>
      </c>
      <c r="F9" s="11" t="inlineStr">
        <is>
          <t>Publish/rollback config qua pipeline</t>
        </is>
      </c>
      <c r="G9" s="11" t="inlineStr">
        <is>
          <t>AD-005</t>
        </is>
      </c>
      <c r="H9" s="11" t="inlineStr">
        <is>
          <t>OWNER chọn bundle đã validate; staging smoke; alpha restart có thông báo; lưu version trước/sau và actor.</t>
        </is>
      </c>
      <c r="I9" s="11" t="inlineStr">
        <is>
          <t>AD</t>
        </is>
      </c>
      <c r="J9" s="11" t="inlineStr">
        <is>
          <t>Must</t>
        </is>
      </c>
      <c r="K9" s="11" t="inlineStr">
        <is>
          <t>AD-001, AD-002, AD-003, AD-004, AD-006, AD-007, CL-024, SV-013, SV-015, SV-016, SV-017</t>
        </is>
      </c>
      <c r="L9" s="11" t="inlineStr">
        <is>
          <t>Đề xuất từ ý tưởng + cụ thể hóa cho alpha</t>
        </is>
      </c>
      <c r="M9" s="11" t="inlineStr">
        <is>
          <t>Bundle version/change reason</t>
        </is>
      </c>
      <c r="N9" s="11" t="inlineStr">
        <is>
          <t>Published config/audit</t>
        </is>
      </c>
      <c r="O9" s="11" t="inlineStr">
        <is>
          <t>Bundle lỗi chưa validate không publish</t>
        </is>
      </c>
      <c r="P9" s="11" t="inlineStr">
        <is>
          <t>1 invalid foreign key chặn publish; rollback dùng bundle bất biến.</t>
        </is>
      </c>
      <c r="Q9" s="11" t="inlineStr">
        <is>
          <t>T16-SV, T18-SV</t>
        </is>
      </c>
      <c r="R9" s="11" t="inlineStr">
        <is>
          <t>TC-AD-005</t>
        </is>
      </c>
      <c r="S9" s="11" t="inlineStr"/>
      <c r="T9" s="11" t="inlineStr"/>
      <c r="U9" s="11" t="inlineStr">
        <is>
          <t>MVP</t>
        </is>
      </c>
      <c r="V9" s="11" t="inlineStr">
        <is>
          <t>Đề xuất</t>
        </is>
      </c>
    </row>
    <row r="10" ht="54" customHeight="1">
      <c r="A10" s="12" t="n">
        <v>6</v>
      </c>
      <c r="B10" s="12" t="inlineStr">
        <is>
          <t>GM</t>
        </is>
      </c>
      <c r="C10" s="12" t="inlineStr">
        <is>
          <t>Giám sát</t>
        </is>
      </c>
      <c r="D10" s="12" t="inlineStr">
        <is>
          <t>Dashboard</t>
        </is>
      </c>
      <c r="E10" s="12" t="inlineStr">
        <is>
          <t>Action</t>
        </is>
      </c>
      <c r="F10" s="12" t="inlineStr">
        <is>
          <t>Dashboard vận hành tối thiểu</t>
        </is>
      </c>
      <c r="G10" s="12" t="inlineStr">
        <is>
          <t>AD-006</t>
        </is>
      </c>
      <c r="H10" s="12" t="inlineStr">
        <is>
          <t>Trang read-only số CCU/map, errors, tick, DBhealth; export report alpha; dùng dashboard sẵn có hoặc trang đơn giản.</t>
        </is>
      </c>
      <c r="I10" s="12" t="inlineStr">
        <is>
          <t>AD</t>
        </is>
      </c>
      <c r="J10" s="12" t="inlineStr">
        <is>
          <t>Must</t>
        </is>
      </c>
      <c r="K10" s="12" t="inlineStr">
        <is>
          <t>AD-001, AD-002, AD-003, AD-004, AD-005, AD-007, CL-024, CL-028, SV-013, SV-015, SV-016, SV-017</t>
        </is>
      </c>
      <c r="L10" s="12" t="inlineStr">
        <is>
          <t>Đề xuất từ ý tưởng + cụ thể hóa cho alpha</t>
        </is>
      </c>
      <c r="M10" s="12" t="inlineStr">
        <is>
          <t>Time range/server stats</t>
        </is>
      </c>
      <c r="N10" s="12" t="inlineStr">
        <is>
          <t>Dashboard/export</t>
        </is>
      </c>
      <c r="O10" s="12" t="inlineStr">
        <is>
          <t>Không có metrics hiện No data; không hiện 0 giả</t>
        </is>
      </c>
      <c r="P10" s="12" t="inlineStr">
        <is>
          <t>DB mất kết nối hiện cảnh báo trong60s; số CCU khớp active lease.</t>
        </is>
      </c>
      <c r="Q10" s="12" t="inlineStr">
        <is>
          <t>T16-CL, T16-SV</t>
        </is>
      </c>
      <c r="R10" s="12" t="inlineStr">
        <is>
          <t>TC-AD-006</t>
        </is>
      </c>
      <c r="S10" s="12" t="inlineStr"/>
      <c r="T10" s="12" t="inlineStr"/>
      <c r="U10" s="12" t="inlineStr">
        <is>
          <t>MVP</t>
        </is>
      </c>
      <c r="V10" s="12" t="inlineStr">
        <is>
          <t>Đề xuất</t>
        </is>
      </c>
    </row>
    <row r="11" ht="54" customHeight="1">
      <c r="A11" s="11" t="n">
        <v>7</v>
      </c>
      <c r="B11" s="11" t="inlineStr">
        <is>
          <t>GM</t>
        </is>
      </c>
      <c r="C11" s="11" t="inlineStr">
        <is>
          <t>Audit</t>
        </is>
      </c>
      <c r="D11" s="11" t="inlineStr">
        <is>
          <t>Audit log</t>
        </is>
      </c>
      <c r="E11" s="11" t="inlineStr">
        <is>
          <t>Action</t>
        </is>
      </c>
      <c r="F11" s="11" t="inlineStr">
        <is>
          <t>Audit bất biến qua API</t>
        </is>
      </c>
      <c r="G11" s="11" t="inlineStr">
        <is>
          <t>AD-007</t>
        </is>
      </c>
      <c r="H11" s="11" t="inlineStr">
        <is>
          <t>Actor/action/target/reason/requestId/timestamp/before-after; quyền read phân vai; không có API xóa hoặc sửa audit; chỉ mask secret.</t>
        </is>
      </c>
      <c r="I11" s="11" t="inlineStr">
        <is>
          <t>AD</t>
        </is>
      </c>
      <c r="J11" s="11" t="inlineStr">
        <is>
          <t>Must</t>
        </is>
      </c>
      <c r="K11" s="11" t="inlineStr">
        <is>
          <t>AD-001, AD-002, AD-003, AD-004, AD-005, AD-006, CL-024, SV-013, SV-015, SV-016, SV-017</t>
        </is>
      </c>
      <c r="L11" s="11" t="inlineStr">
        <is>
          <t>Đề xuất từ ý tưởng + cụ thể hóa cho alpha</t>
        </is>
      </c>
      <c r="M11" s="11" t="inlineStr">
        <is>
          <t>Privileged commands</t>
        </is>
      </c>
      <c r="N11" s="11" t="inlineStr">
        <is>
          <t>Append-only audit records</t>
        </is>
      </c>
      <c r="O11" s="11" t="inlineStr">
        <is>
          <t>Audit ghi lỗi: đặc quyền thất bại cùng transaction</t>
        </is>
      </c>
      <c r="P11" s="11" t="inlineStr">
        <is>
          <t>Ban/grant/role/config đều có log; GM không xóa được qua API.</t>
        </is>
      </c>
      <c r="Q11" s="11" t="inlineStr">
        <is>
          <t>T16-SV</t>
        </is>
      </c>
      <c r="R11" s="11" t="inlineStr">
        <is>
          <t>TC-AD-007</t>
        </is>
      </c>
      <c r="S11" s="11" t="inlineStr"/>
      <c r="T11" s="11" t="inlineStr"/>
      <c r="U11" s="11" t="inlineStr">
        <is>
          <t>MVP</t>
        </is>
      </c>
      <c r="V11" s="11" t="inlineStr">
        <is>
          <t>Đề xuất</t>
        </is>
      </c>
    </row>
  </sheetData>
  <autoFilter ref="A4:V11"/>
  <mergeCells count="2">
    <mergeCell ref="A2:V2"/>
    <mergeCell ref="A1:V1"/>
  </mergeCells>
  <dataValidations count="1">
    <dataValidation sqref="V5:V11" showDropDown="0" showInputMessage="0" showErrorMessage="1" allowBlank="0" errorTitle="Giá trị chưa hợp lệ" error="Chọn một giá trị trong danh sách." type="list">
      <formula1>"Đề xuất,Đã chốt,Đang làm,Hoàn thành,Hoãn"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F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90" customWidth="1" min="3" max="3"/>
    <col width="90" customWidth="1" min="4" max="4"/>
    <col width="35" customWidth="1" min="5" max="5"/>
    <col width="70" customWidth="1" min="6" max="6"/>
  </cols>
  <sheetData>
    <row r="1" ht="34" customHeight="1">
      <c r="A1" s="1" t="inlineStr">
        <is>
          <t>06 / Non-functional Requirements</t>
        </is>
      </c>
    </row>
    <row r="2" ht="31" customHeight="1">
      <c r="A2" s="2" t="inlineStr">
        <is>
          <t>Mỗi chỉ số là mục tiêu đo trong điều kiện ghi rõ; chưa kiểm chứng bằng phần mềm thực tế.</t>
        </is>
      </c>
    </row>
    <row r="4" ht="31" customHeight="1">
      <c r="A4" s="3" t="inlineStr">
        <is>
          <t>ID</t>
        </is>
      </c>
      <c r="B4" s="3" t="inlineStr">
        <is>
          <t>Nhóm</t>
        </is>
      </c>
      <c r="C4" s="3" t="inlineStr">
        <is>
          <t>Điều kiện đo</t>
        </is>
      </c>
      <c r="D4" s="3" t="inlineStr">
        <is>
          <t>Tiêu chí pass</t>
        </is>
      </c>
      <c r="E4" s="3" t="inlineStr">
        <is>
          <t>WBS IDs</t>
        </is>
      </c>
      <c r="F4" s="3" t="inlineStr">
        <is>
          <t>Evidence cần lưu</t>
        </is>
      </c>
    </row>
    <row r="5" ht="39" customHeight="1">
      <c r="A5" s="11" t="inlineStr">
        <is>
          <t>NFR-01</t>
        </is>
      </c>
      <c r="B5" s="11" t="inlineStr">
        <is>
          <t>Client performance</t>
        </is>
      </c>
      <c r="C5" s="11" t="inlineStr">
        <is>
          <t>Godot PC Windows foreground; scene tham chiếu 20 player+50 mob+VFX vừa;1366×768 low; máy i5-8250U/8GB/UHD620 hoặc máy đội chốt S01</t>
        </is>
      </c>
      <c r="D5" s="11" t="inlineStr">
        <is>
          <t>Sau warmup2 phút đo 5 phút: FPS trung vị≥50; frame time p95≤33ms; máy thực tế phải ghi rõ</t>
        </is>
      </c>
      <c r="E5" s="11" t="inlineStr">
        <is>
          <t>T01-CL, T17-CL, T17-GD</t>
        </is>
      </c>
      <c r="F5" s="11" t="inlineStr">
        <is>
          <t>Perf capture, engine/OS/hardware/build ID</t>
        </is>
      </c>
    </row>
    <row r="6" ht="39" customHeight="1">
      <c r="A6" s="12" t="inlineStr">
        <is>
          <t>NFR-02</t>
        </is>
      </c>
      <c r="B6" s="12" t="inlineStr">
        <is>
          <t>Realtime latency</t>
        </is>
      </c>
      <c r="C6" s="12" t="inlineStr">
        <is>
          <t>Máy test cùng khu vực; RTT giả lập100ms, jitter20ms, packet loss 1%; input hợp lệ không rate-limit</t>
        </is>
      </c>
      <c r="D6" s="12" t="inlineStr">
        <is>
          <t>Command ACK p95≤250ms; correction không xuyên tường; báo riêng RTT và xử lý server</t>
        </is>
      </c>
      <c r="E6" s="12" t="inlineStr">
        <is>
          <t>T04-SV, T17-SV, T17-GD</t>
        </is>
      </c>
      <c r="F6" s="12" t="inlineStr">
        <is>
          <t>10.000 intent; latency distribution</t>
        </is>
      </c>
    </row>
    <row r="7" ht="39" customHeight="1">
      <c r="A7" s="11" t="inlineStr">
        <is>
          <t>NFR-03</t>
        </is>
      </c>
      <c r="B7" s="11" t="inlineStr">
        <is>
          <t>Capacity alpha</t>
        </is>
      </c>
      <c r="C7" s="11" t="inlineStr">
        <is>
          <t>50CCU tổng 1 shard;≤20 player/map room;50 mob hoạt động/map; instance roster≤3; 50bots2 giờ có cast/loot/craft</t>
        </is>
      </c>
      <c r="D7" s="11" t="inlineStr">
        <is>
          <t>Simulation20Hz: tick duration p95≤40ms; không disconnect do quá tải; memory không tăng không giới hạn; p95DBcommand≤200ms</t>
        </is>
      </c>
      <c r="E7" s="11" t="inlineStr">
        <is>
          <t>T17-SV, T17-GD</t>
        </is>
      </c>
      <c r="F7" s="11" t="inlineStr">
        <is>
          <t>Ghi CPU/RAM/server config; đây là mục tiêu kiểm thử, chưa là benchmark</t>
        </is>
      </c>
    </row>
    <row r="8" ht="39" customHeight="1">
      <c r="A8" s="12" t="inlineStr">
        <is>
          <t>NFR-04</t>
        </is>
      </c>
      <c r="B8" s="12" t="inlineStr">
        <is>
          <t>Tài sản bền vững</t>
        </is>
      </c>
      <c r="C8" s="12" t="inlineStr">
        <is>
          <t>Inventory/tiền/quest/reward/craft đã ACK commit; position/HP/hunger checkpoint30s</t>
        </is>
      </c>
      <c r="D8" s="12" t="inlineStr">
        <is>
          <t>Crash process: mất 0 giao dịch đã ACK; vị trí có thể lùi≤30s;20 retry cùng ID đúng 1 hiệu lực</t>
        </is>
      </c>
      <c r="E8" s="12" t="inlineStr">
        <is>
          <t>T07-SV, T09-SV, T12-SV, T17-SV</t>
        </is>
      </c>
      <c r="F8" s="12" t="inlineStr">
        <is>
          <t>Fault injection trước/sau commit và trước/sau ACK</t>
        </is>
      </c>
    </row>
    <row r="9" ht="39" customHeight="1">
      <c r="A9" s="11" t="inlineStr">
        <is>
          <t>NFR-05</t>
        </is>
      </c>
      <c r="B9" s="11" t="inlineStr">
        <is>
          <t>Access/security</t>
        </is>
      </c>
      <c r="C9" s="11" t="inlineStr">
        <is>
          <t>Auth/game/admin API; token hết hạn; account khác; sửa payload; spam; XSS chat</t>
        </is>
      </c>
      <c r="D9" s="11" t="inlineStr">
        <is>
          <t>100% negative matrix bắt buộc bị chặn; không secret trong log; không client-authoritative reward; 0 lỗi P0/P1 auth/dupe</t>
        </is>
      </c>
      <c r="E9" s="11" t="inlineStr">
        <is>
          <t>T02-SV, T16-SV, T17-SV</t>
        </is>
      </c>
      <c r="F9" s="11" t="inlineStr">
        <is>
          <t>Danh sách test và evidence; không gọi là chứng nhận bảo mật</t>
        </is>
      </c>
    </row>
    <row r="10" ht="39" customHeight="1">
      <c r="A10" s="12" t="inlineStr">
        <is>
          <t>NFR-06</t>
        </is>
      </c>
      <c r="B10" s="12" t="inlineStr">
        <is>
          <t>Backup/disaster</t>
        </is>
      </c>
      <c r="C10" s="12" t="inlineStr">
        <is>
          <t>Snapshot hằng ngày + trước release; giữ 7 daily/4 weekly; restore vào môi trường cô lập</t>
        </is>
      </c>
      <c r="D10" s="12" t="inlineStr">
        <is>
          <t>RPO≤24h; RTO≤2 giờ trong diễn tập; item/ledger đối chiếu khớp backup; khác crash checkpoint</t>
        </is>
      </c>
      <c r="E10" s="12" t="inlineStr">
        <is>
          <t>T16-SV, T18-SV</t>
        </is>
      </c>
      <c r="F10" s="12" t="inlineStr">
        <is>
          <t>Log thời điểm snapshot, mất dữ liệu giả lập và hoàn tất restore</t>
        </is>
      </c>
    </row>
    <row r="11" ht="39" customHeight="1">
      <c r="A11" s="11" t="inlineStr">
        <is>
          <t>NFR-07</t>
        </is>
      </c>
      <c r="B11" s="11" t="inlineStr">
        <is>
          <t>Compatibility</t>
        </is>
      </c>
      <c r="C11" s="11" t="inlineStr">
        <is>
          <t>Godot native Windows 10/11;1366×768/1920×1080; keyboard+mouse; Web export kiểm chứng riêng</t>
        </is>
      </c>
      <c r="D11" s="11" t="inlineStr">
        <is>
          <t>Login→quest→craft→dungeon chạy trên Windows 10/11; UI không chặn nútchính; version ghi trong báo cáo</t>
        </is>
      </c>
      <c r="E11" s="11" t="inlineStr">
        <is>
          <t>T17-CL, T17-GD</t>
        </is>
      </c>
      <c r="F11" s="11" t="inlineStr">
        <is>
          <t>OS/engine matrix; Web là spike, chưa cam kết mobile/nativeMac/Linux</t>
        </is>
      </c>
    </row>
    <row r="12" ht="39" customHeight="1">
      <c r="A12" s="12" t="inlineStr">
        <is>
          <t>NFR-08</t>
        </is>
      </c>
      <c r="B12" s="12" t="inlineStr">
        <is>
          <t>Asset budget</t>
        </is>
      </c>
      <c r="C12" s="12" t="inlineStr">
        <is>
          <t>PC cold start; content shell+town không tính engine; Web spike qua mạng 20 Mbps; cache cold; không tính thời gian nhập password; lazyload farm/dungeon</t>
        </is>
      </c>
      <c r="D12" s="12" t="inlineStr">
        <is>
          <t>Initial compressed payload≤25MB; interactive p95≤15 giây trên 10 lượt; asset progress/failure retry có UI</t>
        </is>
      </c>
      <c r="E12" s="12" t="inlineStr">
        <is>
          <t>T02-CL, T17-CL, T17-AR</t>
        </is>
      </c>
      <c r="F12" s="12" t="inlineStr">
        <is>
          <t>Network waterfall; dung lượng bundle; ngân sách cần kiểm chứng S01</t>
        </is>
      </c>
    </row>
    <row r="13" ht="39" customHeight="1">
      <c r="A13" s="11" t="inlineStr">
        <is>
          <t>NFR-09</t>
        </is>
      </c>
      <c r="B13" s="11" t="inlineStr">
        <is>
          <t>Maintainability</t>
        </is>
      </c>
      <c r="C13" s="11" t="inlineStr">
        <is>
          <t>Client/server/shared-content tách rõ; server không import UI; config có schema và version</t>
        </is>
      </c>
      <c r="D13" s="11" t="inlineStr">
        <is>
          <t>CI chặn typecheck/build/schema/transaction tests fail; dev mới chạy local theoREADME≤60 phút</t>
        </is>
      </c>
      <c r="E13" s="11" t="inlineStr">
        <is>
          <t>T02-SV, T11-SV, T16-GD</t>
        </is>
      </c>
      <c r="F13" s="11" t="inlineStr">
        <is>
          <t>Clean-machine setup run; dependency graph review</t>
        </is>
      </c>
    </row>
    <row r="14" ht="39" customHeight="1">
      <c r="A14" s="12" t="inlineStr">
        <is>
          <t>NFR-10</t>
        </is>
      </c>
      <c r="B14" s="12" t="inlineStr">
        <is>
          <t>Observability</t>
        </is>
      </c>
      <c r="C14" s="12" t="inlineStr">
        <is>
          <t>Auth/room/cast/craft/inventory/admin; mỗi command có correlationID</t>
        </is>
      </c>
      <c r="D14" s="12" t="inlineStr">
        <is>
          <t>Tra1 receipt tìm đủ configVersion/outcome/ledger; alert DBunavailable hoặc tick overrun trong 60 giây; log không secret</t>
        </is>
      </c>
      <c r="E14" s="12" t="inlineStr">
        <is>
          <t>T16-SV, T17-SV</t>
        </is>
      </c>
      <c r="F14" s="12" t="inlineStr">
        <is>
          <t>Dashboard capture; trace một happy và một failed command</t>
        </is>
      </c>
    </row>
    <row r="15" ht="39" customHeight="1">
      <c r="A15" s="11" t="inlineStr">
        <is>
          <t>NFR-11</t>
        </is>
      </c>
      <c r="B15" s="11" t="inlineStr">
        <is>
          <t>UX và readability</t>
        </is>
      </c>
      <c r="C15" s="11" t="inlineStr">
        <is>
          <t>10 tester chưa được hướng dẫn; low graphics và mute; skill errors và telegraphs</t>
        </is>
      </c>
      <c r="D15" s="11" t="inlineStr">
        <is>
          <t>≥8/10 tự di chuyển/chọn/đánh trong 3 phút;5/5telegraph kiểm tra có shape/icon ngoài màu; scale chữ≥14px ở 1366×768</t>
        </is>
      </c>
      <c r="E15" s="11" t="inlineStr">
        <is>
          <t>T03-GD, T16-AR, T17-GD</t>
        </is>
      </c>
      <c r="F15" s="11" t="inlineStr">
        <is>
          <t>Quan sát task completion; note lý do thất bại</t>
        </is>
      </c>
    </row>
    <row r="16" ht="39" customHeight="1">
      <c r="A16" s="12" t="inlineStr">
        <is>
          <t>NFR-12</t>
        </is>
      </c>
      <c r="B16" s="12" t="inlineStr">
        <is>
          <t>Release gate</t>
        </is>
      </c>
      <c r="C16" s="12" t="inlineStr">
        <is>
          <t>Feature freeze; E2E, dupe, security, load, restore;5 gate có biên bản</t>
        </is>
      </c>
      <c r="D16" s="12" t="inlineStr">
        <is>
          <t>0P0/0P1;100% Must có ít nhất 1 test passed với evidence; Should có known issues; build/config/schema tags và rollback runbook</t>
        </is>
      </c>
      <c r="E16" s="12" t="inlineStr">
        <is>
          <t>T16-GD, T17-GD, T18-GD, T18-SV</t>
        </is>
      </c>
      <c r="F16" s="12" t="inlineStr">
        <is>
          <t>Go/no-go check list; chưa có test nào được đánh dấu passed trong bản kế hoạch</t>
        </is>
      </c>
    </row>
  </sheetData>
  <autoFilter ref="A4:F16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E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10" customWidth="1" min="3" max="3"/>
    <col width="95" customWidth="1" min="4" max="4"/>
    <col width="55" customWidth="1" min="5" max="5"/>
  </cols>
  <sheetData>
    <row r="1" ht="34" customHeight="1">
      <c r="A1" s="1" t="inlineStr">
        <is>
          <t>07 / Business Rules</t>
        </is>
      </c>
    </row>
    <row r="2" ht="31" customHeight="1">
      <c r="A2" s="2" t="inlineStr">
        <is>
          <t>Thông sốv0.1 để lập trình/thử nghiệm; chưa là cân bằng đã playtest. Thay đổi phải tăng configVersion.</t>
        </is>
      </c>
    </row>
    <row r="4" ht="31" customHeight="1">
      <c r="A4" s="3" t="inlineStr">
        <is>
          <t>ID</t>
        </is>
      </c>
      <c r="B4" s="3" t="inlineStr">
        <is>
          <t>Nhóm</t>
        </is>
      </c>
      <c r="C4" s="3" t="inlineStr">
        <is>
          <t>Quy tắc / Công thức</t>
        </is>
      </c>
      <c r="D4" s="3" t="inlineStr">
        <is>
          <t>Biên / Ngoại lệ</t>
        </is>
      </c>
      <c r="E4" s="3" t="inlineStr">
        <is>
          <t>Requirement IDs</t>
        </is>
      </c>
    </row>
    <row r="5" ht="31" customHeight="1">
      <c r="A5" s="11" t="inlineStr">
        <is>
          <t>BR-01</t>
        </is>
      </c>
      <c r="B5" s="11" t="inlineStr">
        <is>
          <t>Identity</t>
        </is>
      </c>
      <c r="C5" s="11" t="inlineStr">
        <is>
          <t>1 account→1 character; mỗi character chỉ 1 write lease; tên trim/casefold để so trùng;3–16 ký tự.</t>
        </is>
      </c>
      <c r="D5" s="11" t="inlineStr">
        <is>
          <t>Tất cả session/room/admin validate ownership server.</t>
        </is>
      </c>
      <c r="E5" s="11" t="inlineStr">
        <is>
          <t>CL-001, CL-002, SV-001, SV-018</t>
        </is>
      </c>
    </row>
    <row r="6" ht="39" customHeight="1">
      <c r="A6" s="12" t="inlineStr">
        <is>
          <t>BR-02</t>
        </is>
      </c>
      <c r="B6" s="12" t="inlineStr">
        <is>
          <t>Tọa độ</t>
        </is>
      </c>
      <c r="C6" s="12" t="inlineStr">
        <is>
          <t>Logic dùng world tile float; iso sx=(x−y)×32, sy=(x+y)×16, tile 64×32; collision/nav không dựa pixel camera.</t>
        </is>
      </c>
      <c r="D6" s="12" t="inlineStr">
        <is>
          <t>Speed 3 tile/s; server path và swept collision; AOI12 tile+hysteresis2.</t>
        </is>
      </c>
      <c r="E6" s="12" t="inlineStr">
        <is>
          <t>CL-003, CL-004, SV-002, SV-003</t>
        </is>
      </c>
    </row>
    <row r="7" ht="39" customHeight="1">
      <c r="A7" s="11" t="inlineStr">
        <is>
          <t>BR-03</t>
        </is>
      </c>
      <c r="B7" s="11" t="inlineStr">
        <is>
          <t>Loadout</t>
        </is>
      </c>
      <c r="C7" s="11" t="inlineStr">
        <is>
          <t>4 active rank I;2 passive rank II; không trùng guDef; đổi ở safe zone và ngoài combat5s; không đổi arena.</t>
        </is>
      </c>
      <c r="D7" s="11" t="inlineStr">
        <is>
          <t>RankII unlock và hunger≥1; passive ngủ không tác dụng.</t>
        </is>
      </c>
      <c r="E7" s="11" t="inlineStr">
        <is>
          <t>CL-007, CL-015, CL-020</t>
        </is>
      </c>
    </row>
    <row r="8" ht="39" customHeight="1">
      <c r="A8" s="12" t="inlineStr">
        <is>
          <t>BR-04</t>
        </is>
      </c>
      <c r="B8" s="12" t="inlineStr">
        <is>
          <t>Damage</t>
        </is>
      </c>
      <c r="C8" s="12" t="inlineStr">
        <is>
          <t>Damage=max(1, floor((basePower+0.8×attack)×rankFactor×hungerFactor×100/(100+defense)×modeFactor)); rank I=1.0 / rank II=1.25; modeFactor PvP=0.7.</t>
        </is>
      </c>
      <c r="D8" s="12" t="inlineStr">
        <is>
          <t>Heal/shield=floor((basePower+0.5×attack)×rankFactor×hungerFactor); không crit/RNG damage alpha; shield hấp thụ trước HP, tổng cap40% maxHP.</t>
        </is>
      </c>
      <c r="E8" s="12" t="inlineStr">
        <is>
          <t>CL-008, SV-005</t>
        </is>
      </c>
    </row>
    <row r="9" ht="39" customHeight="1">
      <c r="A9" s="11" t="inlineStr">
        <is>
          <t>BR-05</t>
        </is>
      </c>
      <c r="B9" s="11" t="inlineStr">
        <is>
          <t>Mana</t>
        </is>
      </c>
      <c r="C9" s="11" t="inlineStr">
        <is>
          <t>Cost=ceil(maxMana×costPct/100); baseMaxMana100; hồi 2 mana/s ngoài combat5s,1 mana/s trong combat; HP không tự hồi trong combat.</t>
        </is>
      </c>
      <c r="D9" s="11" t="inlineStr">
        <is>
          <t>Accepted cast tiêu mana+cooldown; rejected cast không tiêu; interrupt sauaccept không refund.</t>
        </is>
      </c>
      <c r="E9" s="11" t="inlineStr">
        <is>
          <t>CL-009, SV-005</t>
        </is>
      </c>
    </row>
    <row r="10" ht="39" customHeight="1">
      <c r="A10" s="12" t="inlineStr">
        <is>
          <t>BR-06</t>
        </is>
      </c>
      <c r="B10" s="12" t="inlineStr">
        <is>
          <t>Status</t>
        </is>
      </c>
      <c r="C10" s="12" t="inlineStr">
        <is>
          <t>Slow cùng type lấy mạnh nhất, không cộng; stun refresh lấy endTime max, cap2s PvP; shield cùng source refresh, khác source tổng cap 40% maxHP.</t>
        </is>
      </c>
      <c r="D10" s="12" t="inlineStr">
        <is>
          <t>Timer dùng servertime; buffpassiveunique theo effect group; dispel gỡ debuff hợp lệ.</t>
        </is>
      </c>
      <c r="E10" s="12" t="inlineStr">
        <is>
          <t>CL-010, SV-005</t>
        </is>
      </c>
    </row>
    <row r="11" ht="31" customHeight="1">
      <c r="A11" s="11" t="inlineStr">
        <is>
          <t>BR-07</t>
        </is>
      </c>
      <c r="B11" s="11" t="inlineStr">
        <is>
          <t>Death</t>
        </is>
      </c>
      <c r="C11" s="11" t="inlineStr">
        <is>
          <t>PvEdeath:5s→safe spawn fullHP/mana; penalty=min(50, floor(balance×0.05)); noXP/Gu/item loss.</t>
        </is>
      </c>
      <c r="D11" s="11" t="inlineStr">
        <is>
          <t>Arena death không penalty; battle terminal unique deathID.</t>
        </is>
      </c>
      <c r="E11" s="11" t="inlineStr">
        <is>
          <t>CL-011, SV-007</t>
        </is>
      </c>
    </row>
    <row r="12" ht="39" customHeight="1">
      <c r="A12" s="12" t="inlineStr">
        <is>
          <t>BR-08</t>
        </is>
      </c>
      <c r="B12" s="12" t="inlineStr">
        <is>
          <t>Loot</t>
        </is>
      </c>
      <c r="C12" s="12" t="inlineStr">
        <is>
          <t>Openworldencounter owner=firstvalidhit; lock đến kill/capture/leash; ownerdisconnect10s rồi reset nếu không combat; reward personal.</t>
        </is>
      </c>
      <c r="D12" s="12" t="inlineStr">
        <is>
          <t>Khi kill cùng lúc capture chỉ terminal transition đầu thành công; loot không rơi đất alpha.</t>
        </is>
      </c>
      <c r="E12" s="12" t="inlineStr">
        <is>
          <t>CL-012, SV-006</t>
        </is>
      </c>
    </row>
    <row r="13" ht="39" customHeight="1">
      <c r="A13" s="11" t="inlineStr">
        <is>
          <t>BR-09</t>
        </is>
      </c>
      <c r="B13" s="11" t="inlineStr">
        <is>
          <t>Bag</t>
        </is>
      </c>
      <c r="C13" s="11" t="inlineStr">
        <is>
          <t>30 slot; material/food/seal stack 99; Gu unique1 slot; tất cả Gu bound; equipped vẫn chiếm ô bag, loadout là reference; reward overflow→inbox 100 entry, không expire alpha.</t>
        </is>
      </c>
      <c r="D13" s="11" t="inlineStr">
        <is>
          <t>Túi/inbox đều đầy chặn nguồn reward mới có cảnh báo; buy/feed/craft capacity validate trước random.</t>
        </is>
      </c>
      <c r="E13" s="11" t="inlineStr">
        <is>
          <t>CL-013, CL-022, SV-009</t>
        </is>
      </c>
    </row>
    <row r="14" ht="39" customHeight="1">
      <c r="A14" s="12" t="inlineStr">
        <is>
          <t>BR-10</t>
        </is>
      </c>
      <c r="B14" s="12" t="inlineStr">
        <is>
          <t>Gu instance</t>
        </is>
      </c>
      <c r="C14" s="12" t="inlineStr">
        <is>
          <t>Fields: owner, definition, rank, hunger, locked, bound, equippedSlot, version; locked/equipped không bán/luyện.</t>
        </is>
      </c>
      <c r="D14" s="12" t="inlineStr">
        <is>
          <t>InputinstanceIDs khác nhau; thao tác ownership/type/rank/version server.</t>
        </is>
      </c>
      <c r="E14" s="12" t="inlineStr">
        <is>
          <t>CL-014, CL-015, CL-018</t>
        </is>
      </c>
    </row>
    <row r="15" ht="39" customHeight="1">
      <c r="A15" s="11" t="inlineStr">
        <is>
          <t>BR-11</t>
        </is>
      </c>
      <c r="B15" s="11" t="inlineStr">
        <is>
          <t>Capture</t>
        </is>
      </c>
      <c r="C15" s="11" t="inlineStr">
        <is>
          <t>Capturable spawn HP≤30%, range≤3 tile, owner=you, seal≥1, slot available; channel 2s;70% roll; nhận damage/hết range thì hủy.</t>
        </is>
      </c>
      <c r="D15" s="11" t="inlineStr">
        <is>
          <t>Seal mất khistartaccepted, hủy/fail không refund; spawn claim exclusive; success: spawn removed+createGu.</t>
        </is>
      </c>
      <c r="E15" s="11" t="inlineStr">
        <is>
          <t>CL-016, SV-006, SV-010</t>
        </is>
      </c>
    </row>
    <row r="16" ht="39" customHeight="1">
      <c r="A16" s="12" t="inlineStr">
        <is>
          <t>BR-12</t>
        </is>
      </c>
      <c r="B16" s="12" t="inlineStr">
        <is>
          <t>Hunger</t>
        </is>
      </c>
      <c r="C16" s="12" t="inlineStr">
        <is>
          <t>100 start; equipped online giảm 1/5 phút; offline hoặc un-equipped dừng; 1–19 damage/heal/shield output×0.8;0 ngủ khóa active/passive.</t>
        </is>
      </c>
      <c r="D16" s="12" t="inlineStr">
        <is>
          <t>Food đúng type+40cap100; không chết/không phạt offline; cooldown/mobility/CC duration không nhân 0.8.</t>
        </is>
      </c>
      <c r="E16" s="12" t="inlineStr">
        <is>
          <t>CL-017, SV-010</t>
        </is>
      </c>
    </row>
    <row r="17" ht="39" customHeight="1">
      <c r="A17" s="11" t="inlineStr">
        <is>
          <t>BR-13</t>
        </is>
      </c>
      <c r="B17" s="11" t="inlineStr">
        <is>
          <t>Refine</t>
        </is>
      </c>
      <c r="C17" s="11" t="inlineStr">
        <is>
          <t>2 Cổ I +vật liệu +fee→Cổ II; rate=min(100,70+10×recipeFailCount)%; successconsume2 Gu/reset pity; fail giữ 2 Gu/tăng pity.</t>
        </is>
      </c>
      <c r="D17" s="11" t="inlineStr">
        <is>
          <t>Cả hai result tiêu vật liệu+fee; request UUID lưu RNG/receipt; output bound; không reroll vì retry.</t>
        </is>
      </c>
      <c r="E17" s="11" t="inlineStr">
        <is>
          <t>CL-018, CL-019, SV-011</t>
        </is>
      </c>
    </row>
    <row r="18" ht="39" customHeight="1">
      <c r="A18" s="12" t="inlineStr">
        <is>
          <t>BR-14</t>
        </is>
      </c>
      <c r="B18" s="12" t="inlineStr">
        <is>
          <t>Atomic economy</t>
        </is>
      </c>
      <c r="C18" s="12" t="inlineStr">
        <is>
          <t>Mỗi command economic có UUID+expectedVersion; lock character và item IDs tăngdần; validate→roll→writeall→receipt→commit→ACK.</t>
        </is>
      </c>
      <c r="D18" s="12" t="inlineStr">
        <is>
          <t>Unique(character, requestId); payload khác sameID 409; deadlock retry 3 lần bounded; receipt 30 ngày.</t>
        </is>
      </c>
      <c r="E18" s="12" t="inlineStr">
        <is>
          <t>SV-007, SV-008, AD-004</t>
        </is>
      </c>
    </row>
    <row r="19" ht="39" customHeight="1">
      <c r="A19" s="11" t="inlineStr">
        <is>
          <t>BR-15</t>
        </is>
      </c>
      <c r="B19" s="11" t="inlineStr">
        <is>
          <t>Progression</t>
        </is>
      </c>
      <c r="C19" s="11" t="inlineStr">
        <is>
          <t>XPcum(L)=50×(L−1)×L; L1=0, L10=4500, L20=19000; attack=10+2×(L−1); defense=5+(L−1); HP=200+20×(L−1).</t>
        </is>
      </c>
      <c r="D19" s="11" t="inlineStr">
        <is>
          <t>RankII: level 10, Q08claimed,500 currency+10MAT-02; rankFactor ảnh hưởng damage, không nhân mọi stat.</t>
        </is>
      </c>
      <c r="E19" s="11" t="inlineStr">
        <is>
          <t>CL-020, SV-012</t>
        </is>
      </c>
    </row>
    <row r="20" ht="39" customHeight="1">
      <c r="A20" s="12" t="inlineStr">
        <is>
          <t>BR-16</t>
        </is>
      </c>
      <c r="B20" s="12" t="inlineStr">
        <is>
          <t>Quest</t>
        </is>
      </c>
      <c r="C20" s="12" t="inlineStr">
        <is>
          <t>Locked→available→active→completed→claimed; eventunique; Q01–Q 08 chính mở rank II; Q09craftII; Q10dungeon được đặt lại 2 quest phụ trong catalog.</t>
        </is>
      </c>
      <c r="D20" s="12" t="inlineStr">
        <is>
          <t>Quest rewardđảm bảoXPsum đủ level 10 trước Q 08; không tạo vòng craft II→rank II prerequisite.</t>
        </is>
      </c>
      <c r="E20" s="12" t="inlineStr">
        <is>
          <t>CL-021, SV-012</t>
        </is>
      </c>
    </row>
    <row r="21" ht="39" customHeight="1">
      <c r="A21" s="11" t="inlineStr">
        <is>
          <t>BR-17</t>
        </is>
      </c>
      <c r="B21" s="11" t="inlineStr">
        <is>
          <t>Party</t>
        </is>
      </c>
      <c r="C21" s="11" t="inlineStr">
        <is>
          <t>1–3 người;1 membership/person; inviteTTL30s; leader chuyển người vào sớm nhất; roster snapshot khienterdungeon.</t>
        </is>
      </c>
      <c r="D21" s="11" t="inlineStr">
        <is>
          <t>Không cho invite/kick giữa running dungeon; disconnectedgrace30s giữ slot.</t>
        </is>
      </c>
      <c r="E21" s="11" t="inlineStr">
        <is>
          <t>CL-023, SV-013</t>
        </is>
      </c>
    </row>
    <row r="22" ht="39" customHeight="1">
      <c r="A22" s="12" t="inlineStr">
        <is>
          <t>BR-18</t>
        </is>
      </c>
      <c r="B22" s="12" t="inlineStr">
        <is>
          <t>Chat/quotas</t>
        </is>
      </c>
      <c r="C22" s="12" t="inlineStr">
        <is>
          <t>Chat 200 ký tự,2/sburst4; game intent 20/sburst40; payload8KB; channels zone/party; sanitize control chars và escape render.</t>
        </is>
      </c>
      <c r="D22" s="12" t="inlineStr">
        <is>
          <t>Mute/ban server; local mute không đổi quyền; không log password/token.</t>
        </is>
      </c>
      <c r="E22" s="12" t="inlineStr">
        <is>
          <t>CL-024, SV-013, SV-018</t>
        </is>
      </c>
    </row>
    <row r="23" ht="39" customHeight="1">
      <c r="A23" s="11" t="inlineStr">
        <is>
          <t>BR-19</t>
        </is>
      </c>
      <c r="B23" s="11" t="inlineStr">
        <is>
          <t>Dungeon</t>
        </is>
      </c>
      <c r="C23" s="11" t="inlineStr">
        <is>
          <t>1–3 người level 10 rank II; port already;15 phút; boss 2 pattern; reward mỗi character 1 lần/run; wipe respawn entry, timeout fail.</t>
        </is>
      </c>
      <c r="D23" s="11" t="inlineStr">
        <is>
          <t>Disconnect≤30srejoinrun; hết grace vềtown, quyền reward theo roster+participation damage/heal≥1 event.</t>
        </is>
      </c>
      <c r="E23" s="11" t="inlineStr">
        <is>
          <t>CL-025, SV-014</t>
        </is>
      </c>
    </row>
    <row r="24" ht="39" customHeight="1">
      <c r="A24" s="12" t="inlineStr">
        <is>
          <t>BR-20</t>
        </is>
      </c>
      <c r="B24" s="12" t="inlineStr">
        <is>
          <t>PvP</t>
        </is>
      </c>
      <c r="C24" s="12" t="inlineStr">
        <is>
          <t>Onlyarenaopt-in; match180s; damagefactor0.7; stun≤2s; countdown 3s; hết giờ hòa; disconnect&gt;30s thua theo luật; nomoney/loot reward.</t>
        </is>
      </c>
      <c r="D24" s="12" t="inlineStr">
        <is>
          <t>NoopenworldPK/full-loot alpha; không farm thưởng hoặc mất item trong arena.</t>
        </is>
      </c>
      <c r="E24" s="12" t="inlineStr">
        <is>
          <t>CL-026, SV-014</t>
        </is>
      </c>
    </row>
    <row r="25" ht="39" customHeight="1">
      <c r="A25" s="11" t="inlineStr">
        <is>
          <t>BR-21</t>
        </is>
      </c>
      <c r="B25" s="11" t="inlineStr">
        <is>
          <t>Recovery</t>
        </is>
      </c>
      <c r="C25" s="11" t="inlineStr">
        <is>
          <t>Grace30s; single writerleaseTTL30s/renew 10s, fencingcounterDB; checkpoint position/HP/hunger 30s; economic commit before ACK.</t>
        </is>
      </c>
      <c r="D25" s="11" t="inlineStr">
        <is>
          <t>Expired lease không ghi; new room khôi phục state bền vững; maptransferreserve/commit/abort có expiry.</t>
        </is>
      </c>
      <c r="E25" s="11" t="inlineStr">
        <is>
          <t>CL-006, CL-027, SV-004, SV-007</t>
        </is>
      </c>
    </row>
  </sheetData>
  <autoFilter ref="A4:E25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G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100" customWidth="1" min="4" max="4"/>
    <col width="100" customWidth="1" min="5" max="5"/>
    <col width="55" customWidth="1" min="6" max="6"/>
    <col width="55" customWidth="1" min="7" max="7"/>
  </cols>
  <sheetData>
    <row r="1" ht="34" customHeight="1">
      <c r="A1" s="1" t="inlineStr">
        <is>
          <t>08 / Luồng sử dụng</t>
        </is>
      </c>
    </row>
    <row r="2" ht="31" customHeight="1">
      <c r="A2" s="2" t="inlineStr">
        <is>
          <t>Happy path + lỗi + dữ liệu thay đổi. Các thao tác tài sản phải transaction và idempotent.</t>
        </is>
      </c>
    </row>
    <row r="4" ht="31" customHeight="1">
      <c r="A4" s="3" t="inlineStr">
        <is>
          <t>ID</t>
        </is>
      </c>
      <c r="B4" s="3" t="inlineStr">
        <is>
          <t>Actor</t>
        </is>
      </c>
      <c r="C4" s="3" t="inlineStr">
        <is>
          <t>Tiền điều kiện</t>
        </is>
      </c>
      <c r="D4" s="3" t="inlineStr">
        <is>
          <t>Luồng chính</t>
        </is>
      </c>
      <c r="E4" s="3" t="inlineStr">
        <is>
          <t>Ngoại lệ / Phục hồi</t>
        </is>
      </c>
      <c r="F4" s="3" t="inlineStr">
        <is>
          <t>Dữ liệu liên quan</t>
        </is>
      </c>
      <c r="G4" s="3" t="inlineStr">
        <is>
          <t>Requirements</t>
        </is>
      </c>
    </row>
    <row r="5" ht="31" customHeight="1">
      <c r="A5" s="11" t="inlineStr">
        <is>
          <t>UC-01</t>
        </is>
      </c>
      <c r="B5" s="11" t="inlineStr">
        <is>
          <t>Người chơi mới</t>
        </is>
      </c>
      <c r="C5" s="11" t="inlineStr">
        <is>
          <t>Có tài khoản mời; server hoạt động</t>
        </is>
      </c>
      <c r="D5" s="11" t="inlineStr">
        <is>
          <t>Đăng nhập → tạo tên → nhận starter kit một lần → vào thị trấn → tutorial</t>
        </is>
      </c>
      <c r="E5" s="11" t="inlineStr">
        <is>
          <t>Tên trùng thì sửa; token hết hạn đăng nhập lại; tạo lặp trả character cũ</t>
        </is>
      </c>
      <c r="F5" s="11" t="inlineStr">
        <is>
          <t>Character, starter receipt, tutorial step</t>
        </is>
      </c>
      <c r="G5" s="11" t="inlineStr">
        <is>
          <t>CL-001, CL-002, CL-029, SV-001</t>
        </is>
      </c>
    </row>
    <row r="6" ht="31" customHeight="1">
      <c r="A6" s="12" t="inlineStr">
        <is>
          <t>UC-02</t>
        </is>
      </c>
      <c r="B6" s="12" t="inlineStr">
        <is>
          <t>Người chơi</t>
        </is>
      </c>
      <c r="C6" s="12" t="inlineStr">
        <is>
          <t>Đã ở map, còn sống</t>
        </is>
      </c>
      <c r="D6" s="12" t="inlineStr">
        <is>
          <t>Click nền → tìm đường → server kiểm tra → di chuyển; click target/NPC → đi vào tầm → tương tác</t>
        </is>
      </c>
      <c r="E6" s="12" t="inlineStr">
        <is>
          <t>UI focus không di chuyển; tường/đích ngoài biên từ chối; target rời AOI bỏ chọn</t>
        </is>
      </c>
      <c r="F6" s="12" t="inlineStr">
        <is>
          <t>Position checkpoint, selected target transient</t>
        </is>
      </c>
      <c r="G6" s="12" t="inlineStr">
        <is>
          <t>CL-003, CL-004, CL-005</t>
        </is>
      </c>
    </row>
    <row r="7" ht="39" customHeight="1">
      <c r="A7" s="11" t="inlineStr">
        <is>
          <t>UC-03</t>
        </is>
      </c>
      <c r="B7" s="11" t="inlineStr">
        <is>
          <t>Người chơi</t>
        </is>
      </c>
      <c r="C7" s="11" t="inlineStr">
        <is>
          <t>Cổ hợp lệ, đủ mana, target có quyền đánh</t>
        </is>
      </c>
      <c r="D7" s="11" t="inlineStr">
        <is>
          <t>Chọn target → QWER → validate cast → trừ mana/cooldown → resolve hit → mob chết → reward commit → popup</t>
        </is>
      </c>
      <c r="E7" s="11" t="inlineStr">
        <is>
          <t>Ngoài tầm/LOS không cast; full bag chuyển inbox; death event lặp bỏ qua</t>
        </is>
      </c>
      <c r="F7" s="11" t="inlineStr">
        <is>
          <t>Combat event ID, reward receipt, ledger</t>
        </is>
      </c>
      <c r="G7" s="11" t="inlineStr">
        <is>
          <t>CL-007, CL-008, CL-012, SV-005, SV-006</t>
        </is>
      </c>
    </row>
    <row r="8" ht="31" customHeight="1">
      <c r="A8" s="12" t="inlineStr">
        <is>
          <t>UC-04</t>
        </is>
      </c>
      <c r="B8" s="12" t="inlineStr">
        <is>
          <t>Người chơi</t>
        </is>
      </c>
      <c r="C8" s="12" t="inlineStr">
        <is>
          <t>Ở safe zone, ngoài combat 5s</t>
        </is>
      </c>
      <c r="D8" s="12" t="inlineStr">
        <is>
          <t>Mở bag → xem tooltip → lock/unlock → equip slot đúng type/rank → version mới → derived stats</t>
        </is>
      </c>
      <c r="E8" s="12" t="inlineStr">
        <is>
          <t>Equipped hoặc locked không được bán/luyện; duplicate definition reject; stale version refresh</t>
        </is>
      </c>
      <c r="F8" s="12" t="inlineStr">
        <is>
          <t>Gu instance, loadout, inventoryVersion</t>
        </is>
      </c>
      <c r="G8" s="12" t="inlineStr">
        <is>
          <t>CL-013, CL-014, CL-015, SV-008</t>
        </is>
      </c>
    </row>
    <row r="9" ht="39" customHeight="1">
      <c r="A9" s="11" t="inlineStr">
        <is>
          <t>UC-05</t>
        </is>
      </c>
      <c r="B9" s="11" t="inlineStr">
        <is>
          <t>Người chơi</t>
        </is>
      </c>
      <c r="C9" s="11" t="inlineStr">
        <is>
          <t>Sở hữu encounter; target capturable HP≤30%; có seal và ô</t>
        </is>
      </c>
      <c r="D9" s="11" t="inlineStr">
        <is>
          <t>Chọn Bắt → claim spawn → tiêu seal/start 2s channel → server roll 70% → commit Gu hoặc fail → receipt</t>
        </is>
      </c>
      <c r="E9" s="11" t="inlineStr">
        <is>
          <t>Bị đánh/đi xa hủy, không refund seal; target bị giết thì một terminal winner; DB lỗi không ACK success</t>
        </is>
      </c>
      <c r="F9" s="11" t="inlineStr">
        <is>
          <t>Spawn claim/terminal ID, Gu instance, request receipt</t>
        </is>
      </c>
      <c r="G9" s="11" t="inlineStr">
        <is>
          <t>CL-016, SV-006, SV-010</t>
        </is>
      </c>
    </row>
    <row r="10" ht="39" customHeight="1">
      <c r="A10" s="12" t="inlineStr">
        <is>
          <t>UC-06</t>
        </is>
      </c>
      <c r="B10" s="12" t="inlineStr">
        <is>
          <t>Người chơi</t>
        </is>
      </c>
      <c r="C10" s="12" t="inlineStr">
        <is>
          <t>Có Cổ và thức ăn đúng loại; hunger&lt;100</t>
        </is>
      </c>
      <c r="D10" s="12" t="inlineStr">
        <is>
          <t>Mở Feed → xem +40 cap100 → confirm → lock/version validate → consume food + update hunger → commit</t>
        </is>
      </c>
      <c r="E10" s="12" t="inlineStr">
        <is>
          <t>Sai food/đã đầy/version cũ reject không consume; retry cùng UUID trả receipt cũ</t>
        </is>
      </c>
      <c r="F10" s="12" t="inlineStr">
        <is>
          <t>Food stack, Gu hunger, ledger, receipt</t>
        </is>
      </c>
      <c r="G10" s="12" t="inlineStr">
        <is>
          <t>CL-017, SV-008, SV-010</t>
        </is>
      </c>
    </row>
    <row r="11" ht="39" customHeight="1">
      <c r="A11" s="11" t="inlineStr">
        <is>
          <t>UC-07</t>
        </is>
      </c>
      <c r="B11" s="11" t="inlineStr">
        <is>
          <t>Người chơi</t>
        </is>
      </c>
      <c r="C11" s="11" t="inlineStr">
        <is>
          <t>Đủ 2 Cổ I hợp lệ, material, tiền và capacity</t>
        </is>
      </c>
      <c r="D11" s="11" t="inlineStr">
        <is>
          <t>Chọn recipe/instance → preview chance/pity/cost → confirm UUID → lock → roll → write consume/output/pity/ledger/receipt → commit → show</t>
        </is>
      </c>
      <c r="E11" s="11" t="inlineStr">
        <is>
          <t>Fail giữ 2 Gu mất material+fee; success mất 2 Gu; timeout query cùng UUID; config mới yêu cầu preview lại</t>
        </is>
      </c>
      <c r="F11" s="11" t="inlineStr">
        <is>
          <t>RefineAttempt, pity, inventory, currency ledger</t>
        </is>
      </c>
      <c r="G11" s="11" t="inlineStr">
        <is>
          <t>CL-018, CL-019, SV-008, SV-011</t>
        </is>
      </c>
    </row>
    <row r="12" ht="39" customHeight="1">
      <c r="A12" s="12" t="inlineStr">
        <is>
          <t>UC-08</t>
        </is>
      </c>
      <c r="B12" s="12" t="inlineStr">
        <is>
          <t>Người chơi</t>
        </is>
      </c>
      <c r="C12" s="12" t="inlineStr">
        <is>
          <t>Quest prerequisites hợp lệ</t>
        </is>
      </c>
      <c r="D12" s="12" t="inlineStr">
        <is>
          <t>Nhận quest → gameplay events server → đủ progress → claim reward một lần → level 10/Q08 → confirm rank II</t>
        </is>
      </c>
      <c r="E12" s="12" t="inlineStr">
        <is>
          <t>Client không gửi tăng count; Q08 cấp đủ XP/đá; thiếu 500 currency thì farm; rank-up retry không trừ lặp</t>
        </is>
      </c>
      <c r="F12" s="12" t="inlineStr">
        <is>
          <t>QuestProgress, event dedupe, XP/rank ledger</t>
        </is>
      </c>
      <c r="G12" s="12" t="inlineStr">
        <is>
          <t>CL-020, CL-021, SV-012</t>
        </is>
      </c>
    </row>
    <row r="13" ht="39" customHeight="1">
      <c r="A13" s="11" t="inlineStr">
        <is>
          <t>UC-09</t>
        </is>
      </c>
      <c r="B13" s="11" t="inlineStr">
        <is>
          <t>Người chơi</t>
        </is>
      </c>
      <c r="C13" s="11" t="inlineStr">
        <is>
          <t>Đứng gần NPC shop ≤2 tile</t>
        </is>
      </c>
      <c r="D13" s="11" t="inlineStr">
        <is>
          <t>Chọn item/qty → preview giá → confirm UUID → validate tiền/slot/item → atomic buy/sell → receipt</t>
        </is>
      </c>
      <c r="E13" s="11" t="inlineStr">
        <is>
          <t>Locked/equipped không bán; không âm tiền; bag đầy mua bị chặn; request cũ trả receipt</t>
        </is>
      </c>
      <c r="F13" s="11" t="inlineStr">
        <is>
          <t>Inventory, soft currency, ledger</t>
        </is>
      </c>
      <c r="G13" s="11" t="inlineStr">
        <is>
          <t>CL-022, SV-008</t>
        </is>
      </c>
    </row>
    <row r="14" ht="31" customHeight="1">
      <c r="A14" s="12" t="inlineStr">
        <is>
          <t>UC-10</t>
        </is>
      </c>
      <c r="B14" s="12" t="inlineStr">
        <is>
          <t>Người chơi</t>
        </is>
      </c>
      <c r="C14" s="12" t="inlineStr">
        <is>
          <t>HP về0 ngoài arena</t>
        </is>
      </c>
      <c r="D14" s="12" t="inlineStr">
        <is>
          <t>Death ID → khóa input → penalty một lần → chờ5s → safe respawn fullHP/mana</t>
        </is>
      </c>
      <c r="E14" s="12" t="inlineStr">
        <is>
          <t>Reconnect giữa death tiếp tục cùng state; arena không penalty; no Gu/item drop alpha</t>
        </is>
      </c>
      <c r="F14" s="12" t="inlineStr">
        <is>
          <t>Death receipt, currency ledger, position checkpoint</t>
        </is>
      </c>
      <c r="G14" s="12" t="inlineStr">
        <is>
          <t>CL-011, SV-007</t>
        </is>
      </c>
    </row>
    <row r="15" ht="39" customHeight="1">
      <c r="A15" s="11" t="inlineStr">
        <is>
          <t>UC-11</t>
        </is>
      </c>
      <c r="B15" s="11" t="inlineStr">
        <is>
          <t>Người chơi</t>
        </is>
      </c>
      <c r="C15" s="11" t="inlineStr">
        <is>
          <t>Session/lease đang hợp lệ</t>
        </is>
      </c>
      <c r="D15" s="11" t="inlineStr">
        <is>
          <t>Portal: reserve đích → freeze nguồn → commit lease/checkpoint → join đích; reconnect: grace30s → auth → snapshot</t>
        </is>
      </c>
      <c r="E15" s="11" t="inlineStr">
        <is>
          <t>Đích đầy abort về nguồn; process crash recovery từ DB; lease cũ không ghi; pending economic query receipt</t>
        </is>
      </c>
      <c r="F15" s="11" t="inlineStr">
        <is>
          <t>Lease/fencing, transfer record, committed inventory</t>
        </is>
      </c>
      <c r="G15" s="11" t="inlineStr">
        <is>
          <t>CL-006, CL-027, SV-004, SV-007</t>
        </is>
      </c>
    </row>
    <row r="16" ht="31" customHeight="1">
      <c r="A16" s="12" t="inlineStr">
        <is>
          <t>UC-12</t>
        </is>
      </c>
      <c r="B16" s="12" t="inlineStr">
        <is>
          <t>Người chơi/leader</t>
        </is>
      </c>
      <c r="C16" s="12" t="inlineStr">
        <is>
          <t>Chưa ở party hoặc là leader</t>
        </is>
      </c>
      <c r="D16" s="12" t="inlineStr">
        <is>
          <t>Mời → accept trong30s → roster tối đa3 → chat đúng channel → leave/kick → đổi leader nếu cần</t>
        </is>
      </c>
      <c r="E16" s="12" t="inlineStr">
        <is>
          <t>Accept 2 invite cùng lúc chỉ 1 membership; không kick/invite khi dungeon running</t>
        </is>
      </c>
      <c r="F16" s="12" t="inlineStr">
        <is>
          <t>Party/member records; chat/report metadata</t>
        </is>
      </c>
      <c r="G16" s="12" t="inlineStr">
        <is>
          <t>CL-023, CL-024, SV-013</t>
        </is>
      </c>
    </row>
    <row r="17" ht="39" customHeight="1">
      <c r="A17" s="11" t="inlineStr">
        <is>
          <t>UC-13</t>
        </is>
      </c>
      <c r="B17" s="11" t="inlineStr">
        <is>
          <t>Party leader/1–3 người</t>
        </is>
      </c>
      <c r="C17" s="11" t="inlineStr">
        <is>
          <t>Level 10/rank II; ở portal; đủ inbox capacity</t>
        </is>
      </c>
      <c r="D17" s="11" t="inlineStr">
        <is>
          <t>Leader enter → all ready → fixed roster → run15min → né 2 pattern boss → win → personal reward commit → return</t>
        </is>
      </c>
      <c r="E17" s="11" t="inlineStr">
        <is>
          <t>Wipe hồi entry; hết giờ fail; disconnect&gt;30s vềtown; completion lặp không thêm reward</t>
        </is>
      </c>
      <c r="F17" s="11" t="inlineStr">
        <is>
          <t>DungeonRun, roster, participation, reward receipt</t>
        </is>
      </c>
      <c r="G17" s="11" t="inlineStr">
        <is>
          <t>CL-025, SV-014</t>
        </is>
      </c>
    </row>
    <row r="18" ht="39" customHeight="1">
      <c r="A18" s="12" t="inlineStr">
        <is>
          <t>UC-14</t>
        </is>
      </c>
      <c r="B18" s="12" t="inlineStr">
        <is>
          <t>Hai người chơi</t>
        </is>
      </c>
      <c r="C18" s="12" t="inlineStr">
        <is>
          <t>Không ở dungeon/arena; cùng đồng ý</t>
        </is>
      </c>
      <c r="D18" s="12" t="inlineStr">
        <is>
          <t>Invite → accept → ready10s → countdown 3s → combat180s → death/timeout/disconnect → result → safe return</t>
        </is>
      </c>
      <c r="E18" s="12" t="inlineStr">
        <is>
          <t>Hết giờ hòa; disconnect&gt;30s thua; double disconnect hòa; không tiền thưởng/drop/rank</t>
        </is>
      </c>
      <c r="F18" s="12" t="inlineStr">
        <is>
          <t>Match result, roster snapshot</t>
        </is>
      </c>
      <c r="G18" s="12" t="inlineStr">
        <is>
          <t>CL-026, SV-014</t>
        </is>
      </c>
    </row>
    <row r="19" ht="39" customHeight="1">
      <c r="A19" s="11" t="inlineStr">
        <is>
          <t>UC-15</t>
        </is>
      </c>
      <c r="B19" s="11" t="inlineStr">
        <is>
          <t>GM</t>
        </is>
      </c>
      <c r="C19" s="11" t="inlineStr">
        <is>
          <t>Role đủ quyền</t>
        </is>
      </c>
      <c r="D19" s="11" t="inlineStr">
        <is>
          <t>Login GM → tra character/receipt → chọn mute/ban/grant → lý do + preview → confirm → audit + action atomic</t>
        </is>
      </c>
      <c r="E19" s="11" t="inlineStr">
        <is>
          <t>Không role 403; grant retry cùng ID không cấp lại; audit fail thì action rollback</t>
        </is>
      </c>
      <c r="F19" s="11" t="inlineStr">
        <is>
          <t>AdminAction, moderation, grant receipt</t>
        </is>
      </c>
      <c r="G19" s="11" t="inlineStr">
        <is>
          <t>AD-001, AD-002, AD-003, AD-004, AD-007</t>
        </is>
      </c>
    </row>
    <row r="20" ht="39" customHeight="1">
      <c r="A20" s="12" t="inlineStr">
        <is>
          <t>UC-16</t>
        </is>
      </c>
      <c r="B20" s="12" t="inlineStr">
        <is>
          <t>Server owner</t>
        </is>
      </c>
      <c r="C20" s="12" t="inlineStr">
        <is>
          <t>Có snapshot và môi trường restore cô lập</t>
        </is>
      </c>
      <c r="D20" s="12" t="inlineStr">
        <is>
          <t>Chọn snapshot/tag → restore DB rỗng → migrate tương thích → verify ledger/items → smoke → đo RPO/RTO → lưu báo cáo</t>
        </is>
      </c>
      <c r="E20" s="12" t="inlineStr">
        <is>
          <t>Restore fail không chuyển traffic; rollback app cần schema tương thích; không xóa snapshot nguồn</t>
        </is>
      </c>
      <c r="F20" s="12" t="inlineStr">
        <is>
          <t>Restore log, checksums/row counts, report</t>
        </is>
      </c>
      <c r="G20" s="12" t="inlineStr">
        <is>
          <t>SV-017, NFR-06</t>
        </is>
      </c>
    </row>
  </sheetData>
  <autoFilter ref="A4:G20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E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0" customWidth="1" min="2" max="2"/>
    <col width="75" customWidth="1" min="3" max="3"/>
    <col width="16" customWidth="1" min="4" max="4"/>
    <col width="100" customWidth="1" min="5" max="5"/>
  </cols>
  <sheetData>
    <row r="1" ht="34" customHeight="1">
      <c r="A1" s="1" t="inlineStr">
        <is>
          <t>09 / Data Dictionary</t>
        </is>
      </c>
    </row>
    <row r="2" ht="31" customHeight="1">
      <c r="A2" s="2" t="inlineStr">
        <is>
          <t>Logical model đề xuất; chi tiết type/index/migration chốt S02. PostgreSQL là nguồn cho tài sản; room memory cho thế giới realtime.</t>
        </is>
      </c>
    </row>
    <row r="4" ht="31" customHeight="1">
      <c r="A4" s="3" t="inlineStr">
        <is>
          <t>Entity</t>
        </is>
      </c>
      <c r="B4" s="3" t="inlineStr">
        <is>
          <t>Fields / Keys</t>
        </is>
      </c>
      <c r="C4" s="3" t="inlineStr">
        <is>
          <t>Relations / Constraints</t>
        </is>
      </c>
      <c r="D4" s="3" t="inlineStr">
        <is>
          <t>Owner</t>
        </is>
      </c>
      <c r="E4" s="3" t="inlineStr">
        <is>
          <t>Lưu ý</t>
        </is>
      </c>
    </row>
    <row r="5" ht="31" customHeight="1">
      <c r="A5" s="11" t="inlineStr">
        <is>
          <t>Account</t>
        </is>
      </c>
      <c r="B5" s="11" t="inlineStr">
        <is>
          <t>account_id PK; username UNIQUE; password_hash; status; token_version</t>
        </is>
      </c>
      <c r="C5" s="11" t="inlineStr">
        <is>
          <t>1:1 Character; 1: N Session</t>
        </is>
      </c>
      <c r="D5" s="11" t="inlineStr">
        <is>
          <t>SV</t>
        </is>
      </c>
      <c r="E5" s="11" t="inlineStr">
        <is>
          <t>Không lưu plaintext password; account mời alpha</t>
        </is>
      </c>
    </row>
    <row r="6" ht="39" customHeight="1">
      <c r="A6" s="12" t="inlineStr">
        <is>
          <t>Character</t>
        </is>
      </c>
      <c r="B6" s="12" t="inlineStr">
        <is>
          <t>character_id PK; account_id UNIQUE FK; normalized_name UNIQUE; level; rank; xp; currency; inventory_version</t>
        </is>
      </c>
      <c r="C6" s="12" t="inlineStr">
        <is>
          <t>1: N GuInstance/InventoryStack/QuestProgress</t>
        </is>
      </c>
      <c r="D6" s="12" t="inlineStr">
        <is>
          <t>SV</t>
        </is>
      </c>
      <c r="E6" s="12" t="inlineStr">
        <is>
          <t>Currency≥0; level 1..20; rank I/II; balance thay đổi qua ledger</t>
        </is>
      </c>
    </row>
    <row r="7" ht="31" customHeight="1">
      <c r="A7" s="11" t="inlineStr">
        <is>
          <t>SessionLease</t>
        </is>
      </c>
      <c r="B7" s="11" t="inlineStr">
        <is>
          <t>character_id PK/FK; session_id; room_id; fencing_counter; expires_at</t>
        </is>
      </c>
      <c r="C7" s="11" t="inlineStr">
        <is>
          <t>1:1 active Character writer</t>
        </is>
      </c>
      <c r="D7" s="11" t="inlineStr">
        <is>
          <t>SV</t>
        </is>
      </c>
      <c r="E7" s="11" t="inlineStr">
        <is>
          <t>Renew10s/TTL 30s; UPDATE phải kiểm fencing; revoke khi ban</t>
        </is>
      </c>
    </row>
    <row r="8" ht="31" customHeight="1">
      <c r="A8" s="12" t="inlineStr">
        <is>
          <t>CharacterSnapshot</t>
        </is>
      </c>
      <c r="B8" s="12" t="inlineStr">
        <is>
          <t>character_id PK; map_id; position; hp; mana; hunger_clock; checkpoint_at</t>
        </is>
      </c>
      <c r="C8" s="12" t="inlineStr">
        <is>
          <t>1:1 Character</t>
        </is>
      </c>
      <c r="D8" s="12" t="inlineStr">
        <is>
          <t>SV</t>
        </is>
      </c>
      <c r="E8" s="12" t="inlineStr">
        <is>
          <t>Checkpoint≤30s; economic assets không dựa snapshot này</t>
        </is>
      </c>
    </row>
    <row r="9" ht="31" customHeight="1">
      <c r="A9" s="11" t="inlineStr">
        <is>
          <t>InventoryStack</t>
        </is>
      </c>
      <c r="B9" s="11" t="inlineStr">
        <is>
          <t>stack_id PK; character_id FK; item_def_id; qty; bag_slot; version</t>
        </is>
      </c>
      <c r="C9" s="11" t="inlineStr">
        <is>
          <t>N:1 ItemDefinition</t>
        </is>
      </c>
      <c r="D9" s="11" t="inlineStr">
        <is>
          <t>SV</t>
        </is>
      </c>
      <c r="E9" s="11" t="inlineStr">
        <is>
          <t>Qty1..99; UNIQUE(character, bag_slot); Gu không dùng stack</t>
        </is>
      </c>
    </row>
    <row r="10" ht="31" customHeight="1">
      <c r="A10" s="12" t="inlineStr">
        <is>
          <t>GuInstance</t>
        </is>
      </c>
      <c r="B10" s="12" t="inlineStr">
        <is>
          <t>gu_id PK; character_id FK; gu_def_id; hunger; locked; bound; bag_slot; version</t>
        </is>
      </c>
      <c r="C10" s="12" t="inlineStr">
        <is>
          <t>N:1 GuDefinition; 0..1 LoadoutSlot</t>
        </is>
      </c>
      <c r="D10" s="12" t="inlineStr">
        <is>
          <t>SV</t>
        </is>
      </c>
      <c r="E10" s="12" t="inlineStr">
        <is>
          <t>Hunger 0..100; unique slot chung bag; equipped vẫn chiếm ô bag</t>
        </is>
      </c>
    </row>
    <row r="11" ht="31" customHeight="1">
      <c r="A11" s="11" t="inlineStr">
        <is>
          <t>LoadoutSlot</t>
        </is>
      </c>
      <c r="B11" s="11" t="inlineStr">
        <is>
          <t>character_id FK; slot_no; gu_id UNIQUE FK</t>
        </is>
      </c>
      <c r="C11" s="11" t="inlineStr">
        <is>
          <t>PK(character_id, slot_no); 1: N Character</t>
        </is>
      </c>
      <c r="D11" s="11" t="inlineStr">
        <is>
          <t>SV</t>
        </is>
      </c>
      <c r="E11" s="11" t="inlineStr">
        <is>
          <t>Slot 1..4 active;5..6 passive rank II; unique definition per loadout validate transaction</t>
        </is>
      </c>
    </row>
    <row r="12" ht="31" customHeight="1">
      <c r="A12" s="12" t="inlineStr">
        <is>
          <t>CommandReceipt</t>
        </is>
      </c>
      <c r="B12" s="12" t="inlineStr">
        <is>
          <t>character_id FK; request_id; payload_hash; kind; config_version; result; committed_at</t>
        </is>
      </c>
      <c r="C12" s="12" t="inlineStr">
        <is>
          <t>UNIQUE(character_id, request_id)</t>
        </is>
      </c>
      <c r="D12" s="12" t="inlineStr">
        <is>
          <t>SV</t>
        </is>
      </c>
      <c r="E12" s="12" t="inlineStr">
        <is>
          <t>Result immutable≥30 ngày; sameID khác payload 409; recovery qua receipt</t>
        </is>
      </c>
    </row>
    <row r="13" ht="31" customHeight="1">
      <c r="A13" s="11" t="inlineStr">
        <is>
          <t>EconomyLedger</t>
        </is>
      </c>
      <c r="B13" s="11" t="inlineStr">
        <is>
          <t>entry_id PK; character_id; request_id; asset_type; asset_id; delta; reason; balance_after</t>
        </is>
      </c>
      <c r="C13" s="11" t="inlineStr">
        <is>
          <t>N:1 CommandReceipt hoặc trustedRewardReceipt</t>
        </is>
      </c>
      <c r="D13" s="11" t="inlineStr">
        <is>
          <t>SV</t>
        </is>
      </c>
      <c r="E13" s="11" t="inlineStr">
        <is>
          <t>Append-only quaAPI; atomic với balance/item; không dùng log analytics làm source of truth</t>
        </is>
      </c>
    </row>
    <row r="14" ht="31" customHeight="1">
      <c r="A14" s="12" t="inlineStr">
        <is>
          <t>RefineAttempt</t>
        </is>
      </c>
      <c r="B14" s="12" t="inlineStr">
        <is>
          <t>attempt_id PK; character_id; recipe_id; input_ids; roll; chance; outcome; request_id UNIQUE</t>
        </is>
      </c>
      <c r="C14" s="12" t="inlineStr">
        <is>
          <t>N:1 RecipeDefinition/CommandReceipt</t>
        </is>
      </c>
      <c r="D14" s="12" t="inlineStr">
        <is>
          <t>SV</t>
        </is>
      </c>
      <c r="E14" s="12" t="inlineStr">
        <is>
          <t>Persist RNG cùng consume/output; không expose RNG seed client</t>
        </is>
      </c>
    </row>
    <row r="15" ht="31" customHeight="1">
      <c r="A15" s="11" t="inlineStr">
        <is>
          <t>RecipePity</t>
        </is>
      </c>
      <c r="B15" s="11" t="inlineStr">
        <is>
          <t>character_id; recipe_id; fail_count; version</t>
        </is>
      </c>
      <c r="C15" s="11" t="inlineStr">
        <is>
          <t>PK(character_id, recipe_id)</t>
        </is>
      </c>
      <c r="D15" s="11" t="inlineStr">
        <is>
          <t>SV</t>
        </is>
      </c>
      <c r="E15" s="11" t="inlineStr">
        <is>
          <t>0..3 đến 100%; success reset 0; không share giữa recipe</t>
        </is>
      </c>
    </row>
    <row r="16" ht="31" customHeight="1">
      <c r="A16" s="12" t="inlineStr">
        <is>
          <t>QuestProgress</t>
        </is>
      </c>
      <c r="B16" s="12" t="inlineStr">
        <is>
          <t>character_id; quest_id; state; progress; claimed_at; version</t>
        </is>
      </c>
      <c r="C16" s="12" t="inlineStr">
        <is>
          <t>PK(character_id, quest_id)</t>
        </is>
      </c>
      <c r="D16" s="12" t="inlineStr">
        <is>
          <t>SV</t>
        </is>
      </c>
      <c r="E16" s="12" t="inlineStr">
        <is>
          <t>Trusted event dedupe; claim unique; reward cùng transaction</t>
        </is>
      </c>
    </row>
    <row r="17" ht="31" customHeight="1">
      <c r="A17" s="11" t="inlineStr">
        <is>
          <t>ProcessedEvent</t>
        </is>
      </c>
      <c r="B17" s="11" t="inlineStr">
        <is>
          <t>character_id; event_id; event_type; created_at</t>
        </is>
      </c>
      <c r="C17" s="11" t="inlineStr">
        <is>
          <t>UNIQUE(character_id, event_id)</t>
        </is>
      </c>
      <c r="D17" s="11" t="inlineStr">
        <is>
          <t>SV</t>
        </is>
      </c>
      <c r="E17" s="11" t="inlineStr">
        <is>
          <t>Chống event quest/XP/reward lặp; retention ít nhất vòng đời alpha</t>
        </is>
      </c>
    </row>
    <row r="18" ht="31" customHeight="1">
      <c r="A18" s="12" t="inlineStr">
        <is>
          <t>RewardInbox</t>
        </is>
      </c>
      <c r="B18" s="12" t="inlineStr">
        <is>
          <t>entry_id PK; character_id; source_run; reward_payload; claimed_at</t>
        </is>
      </c>
      <c r="C18" s="12" t="inlineStr">
        <is>
          <t>1: N Character; unique source/key</t>
        </is>
      </c>
      <c r="D18" s="12" t="inlineStr">
        <is>
          <t>SV</t>
        </is>
      </c>
      <c r="E18" s="12" t="inlineStr">
        <is>
          <t>100 entry max; noexpiry alpha; claim atomic và slot check</t>
        </is>
      </c>
    </row>
    <row r="19" ht="31" customHeight="1">
      <c r="A19" s="11" t="inlineStr">
        <is>
          <t>Party/PartyMember</t>
        </is>
      </c>
      <c r="B19" s="11" t="inlineStr">
        <is>
          <t>party_id PK; leader_id; status; member character_id UNIQUE; joined_at</t>
        </is>
      </c>
      <c r="C19" s="11" t="inlineStr">
        <is>
          <t>Party 1: N Member≤3</t>
        </is>
      </c>
      <c r="D19" s="11" t="inlineStr">
        <is>
          <t>SV</t>
        </is>
      </c>
      <c r="E19" s="11" t="inlineStr">
        <is>
          <t>Party state có thể memory; membership snapshot durable khi vào dungeon</t>
        </is>
      </c>
    </row>
    <row r="20" ht="31" customHeight="1">
      <c r="A20" s="12" t="inlineStr">
        <is>
          <t>DungeonRun/Match</t>
        </is>
      </c>
      <c r="B20" s="12" t="inlineStr">
        <is>
          <t>run_id PK; kind; roster; state; start/end; config_version; result</t>
        </is>
      </c>
      <c r="C20" s="12" t="inlineStr">
        <is>
          <t>1: N Participation/RunReward</t>
        </is>
      </c>
      <c r="D20" s="12" t="inlineStr">
        <is>
          <t>SV</t>
        </is>
      </c>
      <c r="E20" s="12" t="inlineStr">
        <is>
          <t>Terminal state write once; reward UNIQUE(run_id, character_id, type)</t>
        </is>
      </c>
    </row>
    <row r="21" ht="31" customHeight="1">
      <c r="A21" s="11" t="inlineStr">
        <is>
          <t>SpawnTerminal</t>
        </is>
      </c>
      <c r="B21" s="11" t="inlineStr">
        <is>
          <t>spawn_id PK; encounter_owner; terminal_kind; reward_request_id; status</t>
        </is>
      </c>
      <c r="C21" s="11" t="inlineStr">
        <is>
          <t>Kill/capture mutually exclusive</t>
        </is>
      </c>
      <c r="D21" s="11" t="inlineStr">
        <is>
          <t>SV</t>
        </is>
      </c>
      <c r="E21" s="11" t="inlineStr">
        <is>
          <t>Persist terminal reward intent trước ACK; recovery pending saucrash</t>
        </is>
      </c>
    </row>
    <row r="22" ht="31" customHeight="1">
      <c r="A22" s="12" t="inlineStr">
        <is>
          <t>MapTransfer</t>
        </is>
      </c>
      <c r="B22" s="12" t="inlineStr">
        <is>
          <t>transfer_id PK; character_id; source; target; lease_version; state; expires_at</t>
        </is>
      </c>
      <c r="C22" s="12" t="inlineStr">
        <is>
          <t>1:1 active transfer percharacter</t>
        </is>
      </c>
      <c r="D22" s="12" t="inlineStr">
        <is>
          <t>SV</t>
        </is>
      </c>
      <c r="E22" s="12" t="inlineStr">
        <is>
          <t>Reserve/commit/abort; expiry cleanup; idempotent join</t>
        </is>
      </c>
    </row>
    <row r="23" ht="31" customHeight="1">
      <c r="A23" s="11" t="inlineStr">
        <is>
          <t>Moderation/Report</t>
        </is>
      </c>
      <c r="B23" s="11" t="inlineStr">
        <is>
          <t>report_id; message_id; actor/target; reason; action; expires_at</t>
        </is>
      </c>
      <c r="C23" s="11" t="inlineStr">
        <is>
          <t>N:1 Account; moderation record</t>
        </is>
      </c>
      <c r="D23" s="11" t="inlineStr">
        <is>
          <t>SV</t>
        </is>
      </c>
      <c r="E23" s="11" t="inlineStr">
        <is>
          <t>Mute/ban có expiry; evidence không chứa secret</t>
        </is>
      </c>
    </row>
    <row r="24" ht="31" customHeight="1">
      <c r="A24" s="12" t="inlineStr">
        <is>
          <t>AdminAudit</t>
        </is>
      </c>
      <c r="B24" s="12" t="inlineStr">
        <is>
          <t>audit_id PK; actor; role; action; target; reason; request_id; before_after; created_at</t>
        </is>
      </c>
      <c r="C24" s="12" t="inlineStr">
        <is>
          <t>N:1 AdminAccount/CommandReceipt</t>
        </is>
      </c>
      <c r="D24" s="12" t="inlineStr">
        <is>
          <t>SV</t>
        </is>
      </c>
      <c r="E24" s="12" t="inlineStr">
        <is>
          <t>Không API update/delete; role checked; mask secret</t>
        </is>
      </c>
    </row>
    <row r="25" ht="31" customHeight="1">
      <c r="A25" s="11" t="inlineStr">
        <is>
          <t>ContentBundle</t>
        </is>
      </c>
      <c r="B25" s="11" t="inlineStr">
        <is>
          <t>version PK; hash; schema_version; gu/item/mob/map/recipe/quest definitions</t>
        </is>
      </c>
      <c r="C25" s="11" t="inlineStr">
        <is>
          <t>Immutable; all FK validate build time</t>
        </is>
      </c>
      <c r="D25" s="11" t="inlineStr">
        <is>
          <t>CL+SV+GD</t>
        </is>
      </c>
      <c r="E25" s="11" t="inlineStr">
        <is>
          <t>Runtime pin bundle; không đổi config giữa craft; sourceJSON/CSV</t>
        </is>
      </c>
    </row>
  </sheetData>
  <autoFilter ref="A4:E25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H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60" customWidth="1" min="3" max="3"/>
    <col width="35" customWidth="1" min="4" max="4"/>
    <col width="75" customWidth="1" min="5" max="5"/>
    <col width="70" customWidth="1" min="6" max="6"/>
    <col width="65" customWidth="1" min="7" max="7"/>
    <col width="45" customWidth="1" min="8" max="8"/>
  </cols>
  <sheetData>
    <row r="1" ht="34" customHeight="1">
      <c r="A1" s="1" t="inlineStr">
        <is>
          <t>10 / API &amp; Realtime Contract</t>
        </is>
      </c>
    </row>
    <row r="2" ht="31" customHeight="1">
      <c r="A2" s="2" t="inlineStr">
        <is>
          <t>Tên command/endpoint ở mức thiết kế, không cam kết API framework. Validate auth/ownership/schema/rate trên server.</t>
        </is>
      </c>
    </row>
    <row r="4" ht="31" customHeight="1">
      <c r="A4" s="3" t="inlineStr">
        <is>
          <t>ID</t>
        </is>
      </c>
      <c r="B4" s="3" t="inlineStr">
        <is>
          <t>Transport</t>
        </is>
      </c>
      <c r="C4" s="3" t="inlineStr">
        <is>
          <t>Endpoint / Command</t>
        </is>
      </c>
      <c r="D4" s="3" t="inlineStr">
        <is>
          <t>Quyền</t>
        </is>
      </c>
      <c r="E4" s="3" t="inlineStr">
        <is>
          <t>Request</t>
        </is>
      </c>
      <c r="F4" s="3" t="inlineStr">
        <is>
          <t>Response</t>
        </is>
      </c>
      <c r="G4" s="3" t="inlineStr">
        <is>
          <t>Error codes</t>
        </is>
      </c>
      <c r="H4" s="3" t="inlineStr">
        <is>
          <t>Requirement IDs</t>
        </is>
      </c>
    </row>
    <row r="5" ht="31" customHeight="1">
      <c r="A5" s="11" t="inlineStr">
        <is>
          <t>API-01</t>
        </is>
      </c>
      <c r="B5" s="11" t="inlineStr">
        <is>
          <t>HTTPS</t>
        </is>
      </c>
      <c r="C5" s="11" t="inlineStr">
        <is>
          <t>POST /auth/login</t>
        </is>
      </c>
      <c r="D5" s="11" t="inlineStr">
        <is>
          <t>Public mời</t>
        </is>
      </c>
      <c r="E5" s="11" t="inlineStr">
        <is>
          <t>username, password</t>
        </is>
      </c>
      <c r="F5" s="11" t="inlineStr">
        <is>
          <t>sessionToken, expiresAt</t>
        </is>
      </c>
      <c r="G5" s="11" t="inlineStr">
        <is>
          <t>AUTH_FAILED/RATE_LIMIT</t>
        </is>
      </c>
      <c r="H5" s="11" t="inlineStr">
        <is>
          <t>SV-001, CL-001</t>
        </is>
      </c>
    </row>
    <row r="6" ht="31" customHeight="1">
      <c r="A6" s="12" t="inlineStr">
        <is>
          <t>API-02</t>
        </is>
      </c>
      <c r="B6" s="12" t="inlineStr">
        <is>
          <t>HTTPS</t>
        </is>
      </c>
      <c r="C6" s="12" t="inlineStr">
        <is>
          <t>POST /characters</t>
        </is>
      </c>
      <c r="D6" s="12" t="inlineStr">
        <is>
          <t>Account owner</t>
        </is>
      </c>
      <c r="E6" s="12" t="inlineStr">
        <is>
          <t>name, avatar, requestId</t>
        </is>
      </c>
      <c r="F6" s="12" t="inlineStr">
        <is>
          <t>characterId, starterReceipt</t>
        </is>
      </c>
      <c r="G6" s="12" t="inlineStr">
        <is>
          <t>NAME_TAKEN/ALREADY_EXISTS</t>
        </is>
      </c>
      <c r="H6" s="12" t="inlineStr">
        <is>
          <t>CL-002, SV-001</t>
        </is>
      </c>
    </row>
    <row r="7" ht="31" customHeight="1">
      <c r="A7" s="11" t="inlineStr">
        <is>
          <t>API-03</t>
        </is>
      </c>
      <c r="B7" s="11" t="inlineStr">
        <is>
          <t>HTTPS</t>
        </is>
      </c>
      <c r="C7" s="11" t="inlineStr">
        <is>
          <t>GET /characters/me</t>
        </is>
      </c>
      <c r="D7" s="11" t="inlineStr">
        <is>
          <t>Account owner</t>
        </is>
      </c>
      <c r="E7" s="11" t="inlineStr">
        <is>
          <t>session token</t>
        </is>
      </c>
      <c r="F7" s="11" t="inlineStr">
        <is>
          <t>profile, bag, loadout, quest, version</t>
        </is>
      </c>
      <c r="G7" s="11" t="inlineStr">
        <is>
          <t>401/403</t>
        </is>
      </c>
      <c r="H7" s="11" t="inlineStr">
        <is>
          <t>SV-007</t>
        </is>
      </c>
    </row>
    <row r="8" ht="31" customHeight="1">
      <c r="A8" s="12" t="inlineStr">
        <is>
          <t>API-04</t>
        </is>
      </c>
      <c r="B8" s="12" t="inlineStr">
        <is>
          <t>HTTPS</t>
        </is>
      </c>
      <c r="C8" s="12" t="inlineStr">
        <is>
          <t>GET /config/: version</t>
        </is>
      </c>
      <c r="D8" s="12" t="inlineStr">
        <is>
          <t>Authenticated</t>
        </is>
      </c>
      <c r="E8" s="12" t="inlineStr">
        <is>
          <t>version/hash</t>
        </is>
      </c>
      <c r="F8" s="12" t="inlineStr">
        <is>
          <t>immutable catalog bundle</t>
        </is>
      </c>
      <c r="G8" s="12" t="inlineStr">
        <is>
          <t>CONFIG_NOT_FOUND</t>
        </is>
      </c>
      <c r="H8" s="12" t="inlineStr">
        <is>
          <t>SV-015, CL-030</t>
        </is>
      </c>
    </row>
    <row r="9" ht="31" customHeight="1">
      <c r="A9" s="11" t="inlineStr">
        <is>
          <t>API-05</t>
        </is>
      </c>
      <c r="B9" s="11" t="inlineStr">
        <is>
          <t>Room</t>
        </is>
      </c>
      <c r="C9" s="11" t="inlineStr">
        <is>
          <t>joinMap</t>
        </is>
      </c>
      <c r="D9" s="11" t="inlineStr">
        <is>
          <t>Character owner</t>
        </is>
      </c>
      <c r="E9" s="11" t="inlineStr">
        <is>
          <t>mapId, sessionToken, leaseToken</t>
        </is>
      </c>
      <c r="F9" s="11" t="inlineStr">
        <is>
          <t>snapshot, selfID, configVersion</t>
        </is>
      </c>
      <c r="G9" s="11" t="inlineStr">
        <is>
          <t>AUTH_REQUIRED/MAP_FULL/STALE_LEASE</t>
        </is>
      </c>
      <c r="H9" s="11" t="inlineStr">
        <is>
          <t>SV-001, SV-003, SV-004</t>
        </is>
      </c>
    </row>
    <row r="10" ht="31" customHeight="1">
      <c r="A10" s="12" t="inlineStr">
        <is>
          <t>API-06</t>
        </is>
      </c>
      <c r="B10" s="12" t="inlineStr">
        <is>
          <t>WS</t>
        </is>
      </c>
      <c r="C10" s="12" t="inlineStr">
        <is>
          <t>moveIntent</t>
        </is>
      </c>
      <c r="D10" s="12" t="inlineStr">
        <is>
          <t>Active room lease</t>
        </is>
      </c>
      <c r="E10" s="12" t="inlineStr">
        <is>
          <t>seq, destX, destY</t>
        </is>
      </c>
      <c r="F10" s="12" t="inlineStr">
        <is>
          <t>path/correction, serverTime</t>
        </is>
      </c>
      <c r="G10" s="12" t="inlineStr">
        <is>
          <t>BAD_PATH/OVERSPEED/STALE_SEQ</t>
        </is>
      </c>
      <c r="H10" s="12" t="inlineStr">
        <is>
          <t>CL-003, SV-002</t>
        </is>
      </c>
    </row>
    <row r="11" ht="31" customHeight="1">
      <c r="A11" s="11" t="inlineStr">
        <is>
          <t>API-07</t>
        </is>
      </c>
      <c r="B11" s="11" t="inlineStr">
        <is>
          <t>WS</t>
        </is>
      </c>
      <c r="C11" s="11" t="inlineStr">
        <is>
          <t>castIntent</t>
        </is>
      </c>
      <c r="D11" s="11" t="inlineStr">
        <is>
          <t>Active room lease</t>
        </is>
      </c>
      <c r="E11" s="11" t="inlineStr">
        <is>
          <t>seq, guId, targetId/point</t>
        </is>
      </c>
      <c r="F11" s="11" t="inlineStr">
        <is>
          <t>castId, accepted/hit/events</t>
        </is>
      </c>
      <c r="G11" s="11" t="inlineStr">
        <is>
          <t>NO_MANA/CD/RANGE/LOS/STUN/HUNGRY</t>
        </is>
      </c>
      <c r="H11" s="11" t="inlineStr">
        <is>
          <t>CL-008, SV-005</t>
        </is>
      </c>
    </row>
    <row r="12" ht="31" customHeight="1">
      <c r="A12" s="12" t="inlineStr">
        <is>
          <t>API-08</t>
        </is>
      </c>
      <c r="B12" s="12" t="inlineStr">
        <is>
          <t>WS</t>
        </is>
      </c>
      <c r="C12" s="12" t="inlineStr">
        <is>
          <t>equipGu</t>
        </is>
      </c>
      <c r="D12" s="12" t="inlineStr">
        <is>
          <t>Character owner</t>
        </is>
      </c>
      <c r="E12" s="12" t="inlineStr">
        <is>
          <t>requestId, expectedVersion, guId, slot</t>
        </is>
      </c>
      <c r="F12" s="12" t="inlineStr">
        <is>
          <t>receipt, loadout, newVersion</t>
        </is>
      </c>
      <c r="G12" s="12" t="inlineStr">
        <is>
          <t>BAD_SLOT/RANK/COMBAT/LOCKED</t>
        </is>
      </c>
      <c r="H12" s="12" t="inlineStr">
        <is>
          <t>CL-015, SV-008</t>
        </is>
      </c>
    </row>
    <row r="13" ht="31" customHeight="1">
      <c r="A13" s="11" t="inlineStr">
        <is>
          <t>API-09</t>
        </is>
      </c>
      <c r="B13" s="11" t="inlineStr">
        <is>
          <t>WS</t>
        </is>
      </c>
      <c r="C13" s="11" t="inlineStr">
        <is>
          <t>captureStart/cancel</t>
        </is>
      </c>
      <c r="D13" s="11" t="inlineStr">
        <is>
          <t>Encounter owner</t>
        </is>
      </c>
      <c r="E13" s="11" t="inlineStr">
        <is>
          <t>requestId, spawnId, sealId, version</t>
        </is>
      </c>
      <c r="F13" s="11" t="inlineStr">
        <is>
          <t>channelId/outcomeReceipt</t>
        </is>
      </c>
      <c r="G13" s="11" t="inlineStr">
        <is>
          <t>CLAIMED/HP_HIGH/NO_SLOT/INVALID</t>
        </is>
      </c>
      <c r="H13" s="11" t="inlineStr">
        <is>
          <t>CL-016, SV-010</t>
        </is>
      </c>
    </row>
    <row r="14" ht="31" customHeight="1">
      <c r="A14" s="12" t="inlineStr">
        <is>
          <t>API-10</t>
        </is>
      </c>
      <c r="B14" s="12" t="inlineStr">
        <is>
          <t>WS</t>
        </is>
      </c>
      <c r="C14" s="12" t="inlineStr">
        <is>
          <t>feedGu</t>
        </is>
      </c>
      <c r="D14" s="12" t="inlineStr">
        <is>
          <t>Character owner</t>
        </is>
      </c>
      <c r="E14" s="12" t="inlineStr">
        <is>
          <t>requestId, expectedVersion, guId, foodId</t>
        </is>
      </c>
      <c r="F14" s="12" t="inlineStr">
        <is>
          <t>receipt, hunger, newVersion</t>
        </is>
      </c>
      <c r="G14" s="12" t="inlineStr">
        <is>
          <t>WRONG_FOOD/FULL/NO_ITEM</t>
        </is>
      </c>
      <c r="H14" s="12" t="inlineStr">
        <is>
          <t>CL-017, SV-010</t>
        </is>
      </c>
    </row>
    <row r="15" ht="31" customHeight="1">
      <c r="A15" s="11" t="inlineStr">
        <is>
          <t>API-11</t>
        </is>
      </c>
      <c r="B15" s="11" t="inlineStr">
        <is>
          <t>WS</t>
        </is>
      </c>
      <c r="C15" s="11" t="inlineStr">
        <is>
          <t>refinePreview</t>
        </is>
      </c>
      <c r="D15" s="11" t="inlineStr">
        <is>
          <t>Character owner</t>
        </is>
      </c>
      <c r="E15" s="11" t="inlineStr">
        <is>
          <t>recipeId, inputGuIds</t>
        </is>
      </c>
      <c r="F15" s="11" t="inlineStr">
        <is>
          <t>cost, chance, pity, configVersion</t>
        </is>
      </c>
      <c r="G15" s="11" t="inlineStr">
        <is>
          <t>INVALID_INPUT/LOCKED/EQUIPPED</t>
        </is>
      </c>
      <c r="H15" s="11" t="inlineStr">
        <is>
          <t>CL-018, SV-011</t>
        </is>
      </c>
    </row>
    <row r="16" ht="31" customHeight="1">
      <c r="A16" s="12" t="inlineStr">
        <is>
          <t>API-12</t>
        </is>
      </c>
      <c r="B16" s="12" t="inlineStr">
        <is>
          <t>WS</t>
        </is>
      </c>
      <c r="C16" s="12" t="inlineStr">
        <is>
          <t>refineCommit</t>
        </is>
      </c>
      <c r="D16" s="12" t="inlineStr">
        <is>
          <t>Character owner</t>
        </is>
      </c>
      <c r="E16" s="12" t="inlineStr">
        <is>
          <t>requestId, expectedVersion, configVersion, recipeId, inputGuIds</t>
        </is>
      </c>
      <c r="F16" s="12" t="inlineStr">
        <is>
          <t>immutable receipt, outcome, newVersion</t>
        </is>
      </c>
      <c r="G16" s="12" t="inlineStr">
        <is>
          <t>CONFIG_CHANGED/NO_MONEY/VERSION_CONFLICT</t>
        </is>
      </c>
      <c r="H16" s="12" t="inlineStr">
        <is>
          <t>CL-019, SV-011</t>
        </is>
      </c>
    </row>
    <row r="17" ht="31" customHeight="1">
      <c r="A17" s="11" t="inlineStr">
        <is>
          <t>API-13</t>
        </is>
      </c>
      <c r="B17" s="11" t="inlineStr">
        <is>
          <t>HTTPS</t>
        </is>
      </c>
      <c r="C17" s="11" t="inlineStr">
        <is>
          <t>GET /receipts/: requestId</t>
        </is>
      </c>
      <c r="D17" s="11" t="inlineStr">
        <is>
          <t>Character owner</t>
        </is>
      </c>
      <c r="E17" s="11" t="inlineStr">
        <is>
          <t>requestId</t>
        </is>
      </c>
      <c r="F17" s="11" t="inlineStr">
        <is>
          <t>committed receipt hoặc pending/notfound</t>
        </is>
      </c>
      <c r="G17" s="11" t="inlineStr">
        <is>
          <t>403/NOT_FOUND; không tự roll mới</t>
        </is>
      </c>
      <c r="H17" s="11" t="inlineStr">
        <is>
          <t>SV-008, CL-019</t>
        </is>
      </c>
    </row>
    <row r="18" ht="31" customHeight="1">
      <c r="A18" s="12" t="inlineStr">
        <is>
          <t>API-14</t>
        </is>
      </c>
      <c r="B18" s="12" t="inlineStr">
        <is>
          <t>WS</t>
        </is>
      </c>
      <c r="C18" s="12" t="inlineStr">
        <is>
          <t>questAccept/claim, rankUp</t>
        </is>
      </c>
      <c r="D18" s="12" t="inlineStr">
        <is>
          <t>Character owner</t>
        </is>
      </c>
      <c r="E18" s="12" t="inlineStr">
        <is>
          <t>requestId, questId/version</t>
        </is>
      </c>
      <c r="F18" s="12" t="inlineStr">
        <is>
          <t>receipt, progress, rank/XP</t>
        </is>
      </c>
      <c r="G18" s="12" t="inlineStr">
        <is>
          <t>LOCKED/NOT_DONE/ALREADY_CLAIMED</t>
        </is>
      </c>
      <c r="H18" s="12" t="inlineStr">
        <is>
          <t>CL-020, CL-021, SV-012</t>
        </is>
      </c>
    </row>
    <row r="19" ht="31" customHeight="1">
      <c r="A19" s="11" t="inlineStr">
        <is>
          <t>API-15</t>
        </is>
      </c>
      <c r="B19" s="11" t="inlineStr">
        <is>
          <t>WS</t>
        </is>
      </c>
      <c r="C19" s="11" t="inlineStr">
        <is>
          <t>npcBuy/npcSell</t>
        </is>
      </c>
      <c r="D19" s="11" t="inlineStr">
        <is>
          <t>Active owner gần NPC</t>
        </is>
      </c>
      <c r="E19" s="11" t="inlineStr">
        <is>
          <t>requestId, npcId, item/guId, qty, version</t>
        </is>
      </c>
      <c r="F19" s="11" t="inlineStr">
        <is>
          <t>receipt, balance, newVersion</t>
        </is>
      </c>
      <c r="G19" s="11" t="inlineStr">
        <is>
          <t>FAR/NO_SLOT/NO_MONEY/LOCKED</t>
        </is>
      </c>
      <c r="H19" s="11" t="inlineStr">
        <is>
          <t>CL-022, SV-008</t>
        </is>
      </c>
    </row>
    <row r="20" ht="31" customHeight="1">
      <c r="A20" s="12" t="inlineStr">
        <is>
          <t>API-16</t>
        </is>
      </c>
      <c r="B20" s="12" t="inlineStr">
        <is>
          <t>WS</t>
        </is>
      </c>
      <c r="C20" s="12" t="inlineStr">
        <is>
          <t>partyInvite/accept/leave/kick</t>
        </is>
      </c>
      <c r="D20" s="12" t="inlineStr">
        <is>
          <t>Owner/leader theo action</t>
        </is>
      </c>
      <c r="E20" s="12" t="inlineStr">
        <is>
          <t>requestId, targetId/inviteId</t>
        </is>
      </c>
      <c r="F20" s="12" t="inlineStr">
        <is>
          <t>roster/invite expiresAt</t>
        </is>
      </c>
      <c r="G20" s="12" t="inlineStr">
        <is>
          <t>FULL/EXPIRED/ALREADY_MEMBER/RUNNING</t>
        </is>
      </c>
      <c r="H20" s="12" t="inlineStr">
        <is>
          <t>CL-023, SV-013</t>
        </is>
      </c>
    </row>
    <row r="21" ht="31" customHeight="1">
      <c r="A21" s="11" t="inlineStr">
        <is>
          <t>API-17</t>
        </is>
      </c>
      <c r="B21" s="11" t="inlineStr">
        <is>
          <t>WS</t>
        </is>
      </c>
      <c r="C21" s="11" t="inlineStr">
        <is>
          <t>chatSend/report</t>
        </is>
      </c>
      <c r="D21" s="11" t="inlineStr">
        <is>
          <t>Zone/party authorized</t>
        </is>
      </c>
      <c r="E21" s="11" t="inlineStr">
        <is>
          <t>channel, text hoặc messageId/reason</t>
        </is>
      </c>
      <c r="F21" s="11" t="inlineStr">
        <is>
          <t>messageId/reportId</t>
        </is>
      </c>
      <c r="G21" s="11" t="inlineStr">
        <is>
          <t>MUTED/TOO_LONG/RATE_LIMIT/403</t>
        </is>
      </c>
      <c r="H21" s="11" t="inlineStr">
        <is>
          <t>CL-024, SV-013</t>
        </is>
      </c>
    </row>
    <row r="22" ht="31" customHeight="1">
      <c r="A22" s="12" t="inlineStr">
        <is>
          <t>API-18</t>
        </is>
      </c>
      <c r="B22" s="12" t="inlineStr">
        <is>
          <t>WS</t>
        </is>
      </c>
      <c r="C22" s="12" t="inlineStr">
        <is>
          <t>dungeonEnter/ready</t>
        </is>
      </c>
      <c r="D22" s="12" t="inlineStr">
        <is>
          <t>Leader/member nearportal</t>
        </is>
      </c>
      <c r="E22" s="12" t="inlineStr">
        <is>
          <t>requestId, partyId, ready</t>
        </is>
      </c>
      <c r="F22" s="12" t="inlineStr">
        <is>
          <t>runId, state/roster</t>
        </is>
      </c>
      <c r="G22" s="12" t="inlineStr">
        <is>
          <t>NOT_READY/RANK/LEVEL/INBOX_FULL</t>
        </is>
      </c>
      <c r="H22" s="12" t="inlineStr">
        <is>
          <t>CL-025, SV-014</t>
        </is>
      </c>
    </row>
    <row r="23" ht="31" customHeight="1">
      <c r="A23" s="11" t="inlineStr">
        <is>
          <t>API-19</t>
        </is>
      </c>
      <c r="B23" s="11" t="inlineStr">
        <is>
          <t>WS</t>
        </is>
      </c>
      <c r="C23" s="11" t="inlineStr">
        <is>
          <t>duelInvite/accept/ready</t>
        </is>
      </c>
      <c r="D23" s="11" t="inlineStr">
        <is>
          <t>Two opt-in players</t>
        </is>
      </c>
      <c r="E23" s="11" t="inlineStr">
        <is>
          <t>inviteId, ready</t>
        </is>
      </c>
      <c r="F23" s="11" t="inlineStr">
        <is>
          <t>matchId, countdown, result</t>
        </is>
      </c>
      <c r="G23" s="11" t="inlineStr">
        <is>
          <t>BUSY/EXPIRED/DECLINED</t>
        </is>
      </c>
      <c r="H23" s="11" t="inlineStr">
        <is>
          <t>CL-026, SV-014</t>
        </is>
      </c>
    </row>
    <row r="24" ht="31" customHeight="1">
      <c r="A24" s="12" t="inlineStr">
        <is>
          <t>API-20</t>
        </is>
      </c>
      <c r="B24" s="12" t="inlineStr">
        <is>
          <t>Room</t>
        </is>
      </c>
      <c r="C24" s="12" t="inlineStr">
        <is>
          <t>reconnect/portalTransfer</t>
        </is>
      </c>
      <c r="D24" s="12" t="inlineStr">
        <is>
          <t>Session/lease owner</t>
        </is>
      </c>
      <c r="E24" s="12" t="inlineStr">
        <is>
          <t>reconnectToken hoặc portal Id, transferId</t>
        </is>
      </c>
      <c r="F24" s="12" t="inlineStr">
        <is>
          <t>snapshot/newLease/receipt stat uses</t>
        </is>
      </c>
      <c r="G24" s="12" t="inlineStr">
        <is>
          <t>EXPIRED/STALE_LEASE/DEST_FULL</t>
        </is>
      </c>
      <c r="H24" s="12" t="inlineStr">
        <is>
          <t>CL-006, CL-027, SV-004</t>
        </is>
      </c>
    </row>
    <row r="25" ht="31" customHeight="1">
      <c r="A25" s="11" t="inlineStr">
        <is>
          <t>API-21</t>
        </is>
      </c>
      <c r="B25" s="11" t="inlineStr">
        <is>
          <t>HTTPS</t>
        </is>
      </c>
      <c r="C25" s="11" t="inlineStr">
        <is>
          <t>GET /admin/characters, /admin/receipts</t>
        </is>
      </c>
      <c r="D25" s="11" t="inlineStr">
        <is>
          <t>GM_READ+</t>
        </is>
      </c>
      <c r="E25" s="11" t="inlineStr">
        <is>
          <t>query, page, filters</t>
        </is>
      </c>
      <c r="F25" s="11" t="inlineStr">
        <is>
          <t>masked profile/history</t>
        </is>
      </c>
      <c r="G25" s="11" t="inlineStr">
        <is>
          <t>401/403</t>
        </is>
      </c>
      <c r="H25" s="11" t="inlineStr">
        <is>
          <t>AD-001, AD-002</t>
        </is>
      </c>
    </row>
    <row r="26" ht="31" customHeight="1">
      <c r="A26" s="12" t="inlineStr">
        <is>
          <t>API-22</t>
        </is>
      </c>
      <c r="B26" s="12" t="inlineStr">
        <is>
          <t>HTTPS</t>
        </is>
      </c>
      <c r="C26" s="12" t="inlineStr">
        <is>
          <t>POST /admin/moderation</t>
        </is>
      </c>
      <c r="D26" s="12" t="inlineStr">
        <is>
          <t>GM_MOD+</t>
        </is>
      </c>
      <c r="E26" s="12" t="inlineStr">
        <is>
          <t>requestId, target, action, reason, expiry</t>
        </is>
      </c>
      <c r="F26" s="12" t="inlineStr">
        <is>
          <t>auditId, actionReceipt</t>
        </is>
      </c>
      <c r="G26" s="12" t="inlineStr">
        <is>
          <t>403/INVALID_REASON</t>
        </is>
      </c>
      <c r="H26" s="12" t="inlineStr">
        <is>
          <t>AD-003, AD-007</t>
        </is>
      </c>
    </row>
    <row r="27" ht="31" customHeight="1">
      <c r="A27" s="11" t="inlineStr">
        <is>
          <t>API-23</t>
        </is>
      </c>
      <c r="B27" s="11" t="inlineStr">
        <is>
          <t>HTTPS</t>
        </is>
      </c>
      <c r="C27" s="11" t="inlineStr">
        <is>
          <t>POST /admin/grant, /admin/config/publish</t>
        </is>
      </c>
      <c r="D27" s="11" t="inlineStr">
        <is>
          <t>GM_OWNER</t>
        </is>
      </c>
      <c r="E27" s="11" t="inlineStr">
        <is>
          <t>requestId, target/item/version, reason</t>
        </is>
      </c>
      <c r="F27" s="11" t="inlineStr">
        <is>
          <t>receipt, auditId</t>
        </is>
      </c>
      <c r="G27" s="11" t="inlineStr">
        <is>
          <t>403/INVALID_CONFIG/DUPLICATE_PAYLOAD</t>
        </is>
      </c>
      <c r="H27" s="11" t="inlineStr">
        <is>
          <t>AD-004, AD-005</t>
        </is>
      </c>
    </row>
    <row r="28" ht="31" customHeight="1">
      <c r="A28" s="12" t="inlineStr">
        <is>
          <t>API-24</t>
        </is>
      </c>
      <c r="B28" s="12" t="inlineStr">
        <is>
          <t>HTTPS</t>
        </is>
      </c>
      <c r="C28" s="12" t="inlineStr">
        <is>
          <t>GET /admin/metrics, /admin/audit</t>
        </is>
      </c>
      <c r="D28" s="12" t="inlineStr">
        <is>
          <t>GM_READ+</t>
        </is>
      </c>
      <c r="E28" s="12" t="inlineStr">
        <is>
          <t>range, filters, page</t>
        </is>
      </c>
      <c r="F28" s="12" t="inlineStr">
        <is>
          <t>stats/audit list</t>
        </is>
      </c>
      <c r="G28" s="12" t="inlineStr">
        <is>
          <t>401/403</t>
        </is>
      </c>
      <c r="H28" s="12" t="inlineStr">
        <is>
          <t>AD-006, AD-007, SV-016</t>
        </is>
      </c>
    </row>
    <row r="29" ht="31" customHeight="1">
      <c r="A29" s="11" t="inlineStr">
        <is>
          <t>API-25</t>
        </is>
      </c>
      <c r="B29" s="11" t="inlineStr">
        <is>
          <t>WS</t>
        </is>
      </c>
      <c r="C29" s="11" t="inlineStr">
        <is>
          <t>inboxList/inboxClaim</t>
        </is>
      </c>
      <c r="D29" s="11" t="inlineStr">
        <is>
          <t>Character owner</t>
        </is>
      </c>
      <c r="E29" s="11" t="inlineStr">
        <is>
          <t>entryId, requestId, version</t>
        </is>
      </c>
      <c r="F29" s="11" t="inlineStr">
        <is>
          <t>inbox hoặc claim Receipt/newVersion</t>
        </is>
      </c>
      <c r="G29" s="11" t="inlineStr">
        <is>
          <t>NO_SLOT/ALREADY_CLAIMED/403</t>
        </is>
      </c>
      <c r="H29" s="11" t="inlineStr">
        <is>
          <t>SV-009, CL-013</t>
        </is>
      </c>
    </row>
    <row r="30" ht="31" customHeight="1">
      <c r="A30" s="12" t="inlineStr">
        <is>
          <t>API-26</t>
        </is>
      </c>
      <c r="B30" s="12" t="inlineStr">
        <is>
          <t>WS</t>
        </is>
      </c>
      <c r="C30" s="12" t="inlineStr">
        <is>
          <t>lockGu/respawn/useConsumable</t>
        </is>
      </c>
      <c r="D30" s="12" t="inlineStr">
        <is>
          <t>Character owner/active lease</t>
        </is>
      </c>
      <c r="E30" s="12" t="inlineStr">
        <is>
          <t>requestId, version, guId hoặc itemId</t>
        </is>
      </c>
      <c r="F30" s="12" t="inlineStr">
        <is>
          <t>receipt, state</t>
        </is>
      </c>
      <c r="G30" s="12" t="inlineStr">
        <is>
          <t>DEAD/NOT_DEAD/LOCKED/NO_ITEM</t>
        </is>
      </c>
      <c r="H30" s="12" t="inlineStr">
        <is>
          <t>CL-011, CL-014, SV-008</t>
        </is>
      </c>
    </row>
  </sheetData>
  <autoFilter ref="A4:H30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N2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0" customWidth="1" min="4" max="4"/>
    <col width="18" customWidth="1" min="5" max="5"/>
    <col width="18" customWidth="1" min="6" max="6"/>
    <col width="24" customWidth="1" min="7" max="7"/>
    <col width="16" customWidth="1" min="8" max="8"/>
    <col width="14" customWidth="1" min="9" max="9"/>
    <col width="18" customWidth="1" min="10" max="10"/>
    <col width="18" customWidth="1" min="11" max="11"/>
    <col width="16" customWidth="1" min="12" max="12"/>
    <col width="65" customWidth="1" min="13" max="13"/>
    <col width="55" customWidth="1" min="14" max="14"/>
  </cols>
  <sheetData>
    <row r="1" ht="34" customHeight="1">
      <c r="A1" s="1" t="inlineStr">
        <is>
          <t>11 / Catalog 20 Cổ</t>
        </is>
      </c>
    </row>
    <row r="2" ht="31" customHeight="1">
      <c r="A2" s="2" t="inlineStr">
        <is>
          <t>10 Cổ rank I+10 rank II; tên minh họa; nhiều biến thể dùng 8 effect primitives. power của heal/shield theo công thức rulebook; buff có đơn vị riêng.</t>
        </is>
      </c>
    </row>
    <row r="4" ht="31" customHeight="1">
      <c r="A4" s="3" t="inlineStr">
        <is>
          <t>ID</t>
        </is>
      </c>
      <c r="B4" s="3" t="inlineStr">
        <is>
          <t>Tên</t>
        </is>
      </c>
      <c r="C4" s="3" t="inlineStr">
        <is>
          <t>Rank</t>
        </is>
      </c>
      <c r="D4" s="3" t="inlineStr">
        <is>
          <t>Loại</t>
        </is>
      </c>
      <c r="E4" s="3" t="inlineStr">
        <is>
          <t>Primitive</t>
        </is>
      </c>
      <c r="F4" s="3" t="inlineStr">
        <is>
          <t>Target</t>
        </is>
      </c>
      <c r="G4" s="3" t="inlineStr">
        <is>
          <t>Base power / effect value</t>
        </is>
      </c>
      <c r="H4" s="3" t="inlineStr">
        <is>
          <t>Mana %max</t>
        </is>
      </c>
      <c r="I4" s="3" t="inlineStr">
        <is>
          <t>CD (s)</t>
        </is>
      </c>
      <c r="J4" s="3" t="inlineStr">
        <is>
          <t>Range (tile)</t>
        </is>
      </c>
      <c r="K4" s="3" t="inlineStr">
        <is>
          <t>Duration (s)</t>
        </is>
      </c>
      <c r="L4" s="3" t="inlineStr">
        <is>
          <t>Food ID</t>
        </is>
      </c>
      <c r="M4" s="3" t="inlineStr">
        <is>
          <t>Nguồn / Ghi chú effect</t>
        </is>
      </c>
      <c r="N4" s="3" t="inlineStr">
        <is>
          <t>Trạng thái cân bằng</t>
        </is>
      </c>
    </row>
    <row r="5" ht="31" customHeight="1">
      <c r="A5" s="11" t="inlineStr">
        <is>
          <t>GU-01</t>
        </is>
      </c>
      <c r="B5" s="11" t="inlineStr">
        <is>
          <t>Nguyệt Quang Cổ</t>
        </is>
      </c>
      <c r="C5" s="11" t="inlineStr">
        <is>
          <t>I</t>
        </is>
      </c>
      <c r="D5" s="11" t="inlineStr">
        <is>
          <t>Công kích</t>
        </is>
      </c>
      <c r="E5" s="11" t="inlineStr">
        <is>
          <t>projectile</t>
        </is>
      </c>
      <c r="F5" s="11" t="inlineStr">
        <is>
          <t>enemy</t>
        </is>
      </c>
      <c r="G5" s="11" t="n">
        <v>35</v>
      </c>
      <c r="H5" s="11" t="n">
        <v>8</v>
      </c>
      <c r="I5" s="11" t="n">
        <v>2</v>
      </c>
      <c r="J5" s="11" t="n">
        <v>6</v>
      </c>
      <c r="K5" s="11" t="n">
        <v>0</v>
      </c>
      <c r="L5" s="11" t="inlineStr">
        <is>
          <t>MAT-01</t>
        </is>
      </c>
      <c r="M5" s="11" t="inlineStr">
        <is>
          <t>Starter; sói rừng</t>
        </is>
      </c>
      <c r="N5" s="11" t="inlineStr">
        <is>
          <t>Nháp cân bằng — chưa playtest</t>
        </is>
      </c>
    </row>
    <row r="6" ht="31" customHeight="1">
      <c r="A6" s="12" t="inlineStr">
        <is>
          <t>GU-02</t>
        </is>
      </c>
      <c r="B6" s="12" t="inlineStr">
        <is>
          <t>Lôi Điệp Cổ</t>
        </is>
      </c>
      <c r="C6" s="12" t="inlineStr">
        <is>
          <t>I</t>
        </is>
      </c>
      <c r="D6" s="12" t="inlineStr">
        <is>
          <t>Công kích</t>
        </is>
      </c>
      <c r="E6" s="12" t="inlineStr">
        <is>
          <t>aoe</t>
        </is>
      </c>
      <c r="F6" s="12" t="inlineStr">
        <is>
          <t>ground</t>
        </is>
      </c>
      <c r="G6" s="12" t="n">
        <v>25</v>
      </c>
      <c r="H6" s="12" t="n">
        <v>14</v>
      </c>
      <c r="I6" s="12" t="n">
        <v>6</v>
      </c>
      <c r="J6" s="12" t="n">
        <v>5</v>
      </c>
      <c r="K6" s="12" t="n">
        <v>0</v>
      </c>
      <c r="L6" s="12" t="inlineStr">
        <is>
          <t>MAT-04</t>
        </is>
      </c>
      <c r="M6" s="12" t="inlineStr">
        <is>
          <t>Hoang Cổ ở farm</t>
        </is>
      </c>
      <c r="N6" s="12" t="inlineStr">
        <is>
          <t>Nháp cân bằng — chưa playtest</t>
        </is>
      </c>
    </row>
    <row r="7" ht="31" customHeight="1">
      <c r="A7" s="11" t="inlineStr">
        <is>
          <t>GU-03</t>
        </is>
      </c>
      <c r="B7" s="11" t="inlineStr">
        <is>
          <t>Bạch Ngọc Cổ</t>
        </is>
      </c>
      <c r="C7" s="11" t="inlineStr">
        <is>
          <t>I</t>
        </is>
      </c>
      <c r="D7" s="11" t="inlineStr">
        <is>
          <t>Phòng ngự</t>
        </is>
      </c>
      <c r="E7" s="11" t="inlineStr">
        <is>
          <t>shield</t>
        </is>
      </c>
      <c r="F7" s="11" t="inlineStr">
        <is>
          <t>self</t>
        </is>
      </c>
      <c r="G7" s="11" t="n">
        <v>70</v>
      </c>
      <c r="H7" s="11" t="n">
        <v>12</v>
      </c>
      <c r="I7" s="11" t="n">
        <v>12</v>
      </c>
      <c r="J7" s="11" t="n">
        <v>0</v>
      </c>
      <c r="K7" s="11" t="n">
        <v>5</v>
      </c>
      <c r="L7" s="11" t="inlineStr">
        <is>
          <t>MAT-02</t>
        </is>
      </c>
      <c r="M7" s="11" t="inlineStr">
        <is>
          <t>Starter; sơn thú</t>
        </is>
      </c>
      <c r="N7" s="11" t="inlineStr">
        <is>
          <t>Nháp cân bằng — chưa playtest</t>
        </is>
      </c>
    </row>
    <row r="8" ht="31" customHeight="1">
      <c r="A8" s="12" t="inlineStr">
        <is>
          <t>GU-04</t>
        </is>
      </c>
      <c r="B8" s="12" t="inlineStr">
        <is>
          <t>Kim Chung Cổ</t>
        </is>
      </c>
      <c r="C8" s="12" t="inlineStr">
        <is>
          <t>I</t>
        </is>
      </c>
      <c r="D8" s="12" t="inlineStr">
        <is>
          <t>Phòng ngự</t>
        </is>
      </c>
      <c r="E8" s="12" t="inlineStr">
        <is>
          <t>buff</t>
        </is>
      </c>
      <c r="F8" s="12" t="inlineStr">
        <is>
          <t>passive</t>
        </is>
      </c>
      <c r="G8" s="12" t="n">
        <v>10</v>
      </c>
      <c r="H8" s="12" t="n">
        <v>0</v>
      </c>
      <c r="I8" s="12" t="n">
        <v>0</v>
      </c>
      <c r="J8" s="12" t="n">
        <v>0</v>
      </c>
      <c r="K8" s="12" t="n">
        <v>0</v>
      </c>
      <c r="L8" s="12" t="inlineStr">
        <is>
          <t>MAT-02</t>
        </is>
      </c>
      <c r="M8" s="12" t="inlineStr">
        <is>
          <t>Hoang Cổ tinh anh; +10 defense</t>
        </is>
      </c>
      <c r="N8" s="12" t="inlineStr">
        <is>
          <t>Nháp cân bằng — chưa playtest</t>
        </is>
      </c>
    </row>
    <row r="9" ht="31" customHeight="1">
      <c r="A9" s="11" t="inlineStr">
        <is>
          <t>GU-05</t>
        </is>
      </c>
      <c r="B9" s="11" t="inlineStr">
        <is>
          <t>Bạch Hạc Cổ</t>
        </is>
      </c>
      <c r="C9" s="11" t="inlineStr">
        <is>
          <t>I</t>
        </is>
      </c>
      <c r="D9" s="11" t="inlineStr">
        <is>
          <t>Thân pháp</t>
        </is>
      </c>
      <c r="E9" s="11" t="inlineStr">
        <is>
          <t>dash</t>
        </is>
      </c>
      <c r="F9" s="11" t="inlineStr">
        <is>
          <t>ground</t>
        </is>
      </c>
      <c r="G9" s="11" t="n">
        <v>0</v>
      </c>
      <c r="H9" s="11" t="n">
        <v>10</v>
      </c>
      <c r="I9" s="11" t="n">
        <v>8</v>
      </c>
      <c r="J9" s="11" t="n">
        <v>3</v>
      </c>
      <c r="K9" s="11" t="n">
        <v>0</v>
      </c>
      <c r="L9" s="11" t="inlineStr">
        <is>
          <t>MAT-03</t>
        </is>
      </c>
      <c r="M9" s="11" t="inlineStr">
        <is>
          <t>Starter; hạc núi</t>
        </is>
      </c>
      <c r="N9" s="11" t="inlineStr">
        <is>
          <t>Nháp cân bằng — chưa playtest</t>
        </is>
      </c>
    </row>
    <row r="10" ht="31" customHeight="1">
      <c r="A10" s="12" t="inlineStr">
        <is>
          <t>GU-06</t>
        </is>
      </c>
      <c r="B10" s="12" t="inlineStr">
        <is>
          <t>Du Cương Cổ</t>
        </is>
      </c>
      <c r="C10" s="12" t="inlineStr">
        <is>
          <t>I</t>
        </is>
      </c>
      <c r="D10" s="12" t="inlineStr">
        <is>
          <t>Thân pháp</t>
        </is>
      </c>
      <c r="E10" s="12" t="inlineStr">
        <is>
          <t>buff</t>
        </is>
      </c>
      <c r="F10" s="12" t="inlineStr">
        <is>
          <t>self</t>
        </is>
      </c>
      <c r="G10" s="12" t="n">
        <v>20</v>
      </c>
      <c r="H10" s="12" t="n">
        <v>8</v>
      </c>
      <c r="I10" s="12" t="n">
        <v>10</v>
      </c>
      <c r="J10" s="12" t="n">
        <v>0</v>
      </c>
      <c r="K10" s="12" t="n">
        <v>4</v>
      </c>
      <c r="L10" s="12" t="inlineStr">
        <is>
          <t>MAT-03</t>
        </is>
      </c>
      <c r="M10" s="12" t="inlineStr">
        <is>
          <t>Hoang Cổ ở farm; +20% speed</t>
        </is>
      </c>
      <c r="N10" s="12" t="inlineStr">
        <is>
          <t>Nháp cân bằng — chưa playtest</t>
        </is>
      </c>
    </row>
    <row r="11" ht="31" customHeight="1">
      <c r="A11" s="11" t="inlineStr">
        <is>
          <t>GU-07</t>
        </is>
      </c>
      <c r="B11" s="11" t="inlineStr">
        <is>
          <t>Băng Tằm Cổ</t>
        </is>
      </c>
      <c r="C11" s="11" t="inlineStr">
        <is>
          <t>I</t>
        </is>
      </c>
      <c r="D11" s="11" t="inlineStr">
        <is>
          <t>Khống chế</t>
        </is>
      </c>
      <c r="E11" s="11" t="inlineStr">
        <is>
          <t>slow</t>
        </is>
      </c>
      <c r="F11" s="11" t="inlineStr">
        <is>
          <t>enemy</t>
        </is>
      </c>
      <c r="G11" s="11" t="n">
        <v>20</v>
      </c>
      <c r="H11" s="11" t="n">
        <v>10</v>
      </c>
      <c r="I11" s="11" t="n">
        <v>8</v>
      </c>
      <c r="J11" s="11" t="n">
        <v>5</v>
      </c>
      <c r="K11" s="11" t="n">
        <v>3</v>
      </c>
      <c r="L11" s="11" t="inlineStr">
        <is>
          <t>MAT-04</t>
        </is>
      </c>
      <c r="M11" s="11" t="inlineStr">
        <is>
          <t>Starter; băng tằm; slow 30%</t>
        </is>
      </c>
      <c r="N11" s="11" t="inlineStr">
        <is>
          <t>Nháp cân bằng — chưa playtest</t>
        </is>
      </c>
    </row>
    <row r="12" ht="31" customHeight="1">
      <c r="A12" s="12" t="inlineStr">
        <is>
          <t>GU-08</t>
        </is>
      </c>
      <c r="B12" s="12" t="inlineStr">
        <is>
          <t>Hóa Thạch Cổ</t>
        </is>
      </c>
      <c r="C12" s="12" t="inlineStr">
        <is>
          <t>I</t>
        </is>
      </c>
      <c r="D12" s="12" t="inlineStr">
        <is>
          <t>Khống chế</t>
        </is>
      </c>
      <c r="E12" s="12" t="inlineStr">
        <is>
          <t>stun</t>
        </is>
      </c>
      <c r="F12" s="12" t="inlineStr">
        <is>
          <t>enemy</t>
        </is>
      </c>
      <c r="G12" s="12" t="n">
        <v>10</v>
      </c>
      <c r="H12" s="12" t="n">
        <v>16</v>
      </c>
      <c r="I12" s="12" t="n">
        <v>14</v>
      </c>
      <c r="J12" s="12" t="n">
        <v>4</v>
      </c>
      <c r="K12" s="12" t="n">
        <v>1.2</v>
      </c>
      <c r="L12" s="12" t="inlineStr">
        <is>
          <t>MAT-02</t>
        </is>
      </c>
      <c r="M12" s="12" t="inlineStr">
        <is>
          <t>Hoang Cổ tinh anh</t>
        </is>
      </c>
      <c r="N12" s="12" t="inlineStr">
        <is>
          <t>Nháp cân bằng — chưa playtest</t>
        </is>
      </c>
    </row>
    <row r="13" ht="31" customHeight="1">
      <c r="A13" s="11" t="inlineStr">
        <is>
          <t>GU-09</t>
        </is>
      </c>
      <c r="B13" s="11" t="inlineStr">
        <is>
          <t>Hồi Xuân Cổ</t>
        </is>
      </c>
      <c r="C13" s="11" t="inlineStr">
        <is>
          <t>I</t>
        </is>
      </c>
      <c r="D13" s="11" t="inlineStr">
        <is>
          <t>Phụ trợ</t>
        </is>
      </c>
      <c r="E13" s="11" t="inlineStr">
        <is>
          <t>heal</t>
        </is>
      </c>
      <c r="F13" s="11" t="inlineStr">
        <is>
          <t>ally/self</t>
        </is>
      </c>
      <c r="G13" s="11" t="n">
        <v>65</v>
      </c>
      <c r="H13" s="11" t="n">
        <v>15</v>
      </c>
      <c r="I13" s="11" t="n">
        <v>12</v>
      </c>
      <c r="J13" s="11" t="n">
        <v>4</v>
      </c>
      <c r="K13" s="11" t="n">
        <v>0</v>
      </c>
      <c r="L13" s="11" t="inlineStr">
        <is>
          <t>MAT-03</t>
        </is>
      </c>
      <c r="M13" s="11" t="inlineStr">
        <is>
          <t>Hoang Cổ ở farm</t>
        </is>
      </c>
      <c r="N13" s="11" t="inlineStr">
        <is>
          <t>Nháp cân bằng — chưa playtest</t>
        </is>
      </c>
    </row>
    <row r="14" ht="31" customHeight="1">
      <c r="A14" s="12" t="inlineStr">
        <is>
          <t>GU-10</t>
        </is>
      </c>
      <c r="B14" s="12" t="inlineStr">
        <is>
          <t>Địa Thính Cổ</t>
        </is>
      </c>
      <c r="C14" s="12" t="inlineStr">
        <is>
          <t>I</t>
        </is>
      </c>
      <c r="D14" s="12" t="inlineStr">
        <is>
          <t>Do thám</t>
        </is>
      </c>
      <c r="E14" s="12" t="inlineStr">
        <is>
          <t>buff</t>
        </is>
      </c>
      <c r="F14" s="12" t="inlineStr">
        <is>
          <t>passive</t>
        </is>
      </c>
      <c r="G14" s="12" t="n">
        <v>4</v>
      </c>
      <c r="H14" s="12" t="n">
        <v>0</v>
      </c>
      <c r="I14" s="12" t="n">
        <v>0</v>
      </c>
      <c r="J14" s="12" t="n">
        <v>0</v>
      </c>
      <c r="K14" s="12" t="n">
        <v>0</v>
      </c>
      <c r="L14" s="12" t="inlineStr">
        <is>
          <t>MAT-01</t>
        </is>
      </c>
      <c r="M14" s="12" t="inlineStr">
        <is>
          <t>Hoang Cổ tinh anh; minimap 8→12 tile trong AOI</t>
        </is>
      </c>
      <c r="N14" s="12" t="inlineStr">
        <is>
          <t>Nháp cân bằng — chưa playtest</t>
        </is>
      </c>
    </row>
    <row r="15" ht="31" customHeight="1">
      <c r="A15" s="11" t="inlineStr">
        <is>
          <t>GU-11</t>
        </is>
      </c>
      <c r="B15" s="11" t="inlineStr">
        <is>
          <t>Nguyệt Quang Cổ II</t>
        </is>
      </c>
      <c r="C15" s="11" t="inlineStr">
        <is>
          <t>II</t>
        </is>
      </c>
      <c r="D15" s="11" t="inlineStr">
        <is>
          <t>Công kích</t>
        </is>
      </c>
      <c r="E15" s="11" t="inlineStr">
        <is>
          <t>projectile</t>
        </is>
      </c>
      <c r="F15" s="11" t="inlineStr">
        <is>
          <t>enemy</t>
        </is>
      </c>
      <c r="G15" s="11" t="n">
        <v>40.2</v>
      </c>
      <c r="H15" s="11" t="n">
        <v>10</v>
      </c>
      <c r="I15" s="11" t="n">
        <v>2</v>
      </c>
      <c r="J15" s="11" t="n">
        <v>6</v>
      </c>
      <c r="K15" s="11" t="n">
        <v>0</v>
      </c>
      <c r="L15" s="11" t="inlineStr">
        <is>
          <t>MAT-01</t>
        </is>
      </c>
      <c r="M15" s="11" t="inlineStr">
        <is>
          <t>REC-01</t>
        </is>
      </c>
      <c r="N15" s="11" t="inlineStr">
        <is>
          <t>Cùng primitive; rankFactor1.25; tên minh họa</t>
        </is>
      </c>
    </row>
    <row r="16" ht="31" customHeight="1">
      <c r="A16" s="12" t="inlineStr">
        <is>
          <t>GU-12</t>
        </is>
      </c>
      <c r="B16" s="12" t="inlineStr">
        <is>
          <t>Lôi Điệp Cổ II</t>
        </is>
      </c>
      <c r="C16" s="12" t="inlineStr">
        <is>
          <t>II</t>
        </is>
      </c>
      <c r="D16" s="12" t="inlineStr">
        <is>
          <t>Công kích</t>
        </is>
      </c>
      <c r="E16" s="12" t="inlineStr">
        <is>
          <t>aoe</t>
        </is>
      </c>
      <c r="F16" s="12" t="inlineStr">
        <is>
          <t>ground</t>
        </is>
      </c>
      <c r="G16" s="12" t="n">
        <v>28.7</v>
      </c>
      <c r="H16" s="12" t="n">
        <v>16</v>
      </c>
      <c r="I16" s="12" t="n">
        <v>6</v>
      </c>
      <c r="J16" s="12" t="n">
        <v>5</v>
      </c>
      <c r="K16" s="12" t="n">
        <v>0</v>
      </c>
      <c r="L16" s="12" t="inlineStr">
        <is>
          <t>MAT-04</t>
        </is>
      </c>
      <c r="M16" s="12" t="inlineStr">
        <is>
          <t>REC-02</t>
        </is>
      </c>
      <c r="N16" s="12" t="inlineStr">
        <is>
          <t>Cùng primitive; rankFactor1.25; tên minh họa</t>
        </is>
      </c>
    </row>
    <row r="17" ht="31" customHeight="1">
      <c r="A17" s="11" t="inlineStr">
        <is>
          <t>GU-13</t>
        </is>
      </c>
      <c r="B17" s="11" t="inlineStr">
        <is>
          <t>Bạch Ngọc Cổ II</t>
        </is>
      </c>
      <c r="C17" s="11" t="inlineStr">
        <is>
          <t>II</t>
        </is>
      </c>
      <c r="D17" s="11" t="inlineStr">
        <is>
          <t>Phòng ngự</t>
        </is>
      </c>
      <c r="E17" s="11" t="inlineStr">
        <is>
          <t>shield</t>
        </is>
      </c>
      <c r="F17" s="11" t="inlineStr">
        <is>
          <t>self</t>
        </is>
      </c>
      <c r="G17" s="11" t="n">
        <v>80.5</v>
      </c>
      <c r="H17" s="11" t="n">
        <v>14</v>
      </c>
      <c r="I17" s="11" t="n">
        <v>12</v>
      </c>
      <c r="J17" s="11" t="n">
        <v>0</v>
      </c>
      <c r="K17" s="11" t="n">
        <v>5</v>
      </c>
      <c r="L17" s="11" t="inlineStr">
        <is>
          <t>MAT-02</t>
        </is>
      </c>
      <c r="M17" s="11" t="inlineStr">
        <is>
          <t>REC-03</t>
        </is>
      </c>
      <c r="N17" s="11" t="inlineStr">
        <is>
          <t>Cùng primitive; rankFactor1.25; tên minh họa</t>
        </is>
      </c>
    </row>
    <row r="18" ht="31" customHeight="1">
      <c r="A18" s="12" t="inlineStr">
        <is>
          <t>GU-14</t>
        </is>
      </c>
      <c r="B18" s="12" t="inlineStr">
        <is>
          <t>Kim Chung Cổ II</t>
        </is>
      </c>
      <c r="C18" s="12" t="inlineStr">
        <is>
          <t>II</t>
        </is>
      </c>
      <c r="D18" s="12" t="inlineStr">
        <is>
          <t>Phòng ngự</t>
        </is>
      </c>
      <c r="E18" s="12" t="inlineStr">
        <is>
          <t>buff</t>
        </is>
      </c>
      <c r="F18" s="12" t="inlineStr">
        <is>
          <t>passive</t>
        </is>
      </c>
      <c r="G18" s="12" t="n">
        <v>15</v>
      </c>
      <c r="H18" s="12" t="n">
        <v>0</v>
      </c>
      <c r="I18" s="12" t="n">
        <v>0</v>
      </c>
      <c r="J18" s="12" t="n">
        <v>0</v>
      </c>
      <c r="K18" s="12" t="n">
        <v>0</v>
      </c>
      <c r="L18" s="12" t="inlineStr">
        <is>
          <t>MAT-02</t>
        </is>
      </c>
      <c r="M18" s="12" t="inlineStr">
        <is>
          <t>REC-04</t>
        </is>
      </c>
      <c r="N18" s="12" t="inlineStr">
        <is>
          <t>Cùng primitive; rankFactor1.25; tên minh họa</t>
        </is>
      </c>
    </row>
    <row r="19" ht="31" customHeight="1">
      <c r="A19" s="11" t="inlineStr">
        <is>
          <t>GU-15</t>
        </is>
      </c>
      <c r="B19" s="11" t="inlineStr">
        <is>
          <t>Bạch Hạc Cổ II</t>
        </is>
      </c>
      <c r="C19" s="11" t="inlineStr">
        <is>
          <t>II</t>
        </is>
      </c>
      <c r="D19" s="11" t="inlineStr">
        <is>
          <t>Thân pháp</t>
        </is>
      </c>
      <c r="E19" s="11" t="inlineStr">
        <is>
          <t>dash</t>
        </is>
      </c>
      <c r="F19" s="11" t="inlineStr">
        <is>
          <t>ground</t>
        </is>
      </c>
      <c r="G19" s="11" t="n">
        <v>0</v>
      </c>
      <c r="H19" s="11" t="n">
        <v>12</v>
      </c>
      <c r="I19" s="11" t="n">
        <v>8</v>
      </c>
      <c r="J19" s="11" t="n">
        <v>3</v>
      </c>
      <c r="K19" s="11" t="n">
        <v>0</v>
      </c>
      <c r="L19" s="11" t="inlineStr">
        <is>
          <t>MAT-03</t>
        </is>
      </c>
      <c r="M19" s="11" t="inlineStr">
        <is>
          <t>REC-05</t>
        </is>
      </c>
      <c r="N19" s="11" t="inlineStr">
        <is>
          <t>Cùng primitive; rankFactor1.25; tên minh họa</t>
        </is>
      </c>
    </row>
    <row r="20" ht="31" customHeight="1">
      <c r="A20" s="12" t="inlineStr">
        <is>
          <t>GU-16</t>
        </is>
      </c>
      <c r="B20" s="12" t="inlineStr">
        <is>
          <t>Du Cương Cổ II</t>
        </is>
      </c>
      <c r="C20" s="12" t="inlineStr">
        <is>
          <t>II</t>
        </is>
      </c>
      <c r="D20" s="12" t="inlineStr">
        <is>
          <t>Thân pháp</t>
        </is>
      </c>
      <c r="E20" s="12" t="inlineStr">
        <is>
          <t>buff</t>
        </is>
      </c>
      <c r="F20" s="12" t="inlineStr">
        <is>
          <t>self</t>
        </is>
      </c>
      <c r="G20" s="12" t="n">
        <v>20</v>
      </c>
      <c r="H20" s="12" t="n">
        <v>10</v>
      </c>
      <c r="I20" s="12" t="n">
        <v>10</v>
      </c>
      <c r="J20" s="12" t="n">
        <v>0</v>
      </c>
      <c r="K20" s="12" t="n">
        <v>4</v>
      </c>
      <c r="L20" s="12" t="inlineStr">
        <is>
          <t>MAT-03</t>
        </is>
      </c>
      <c r="M20" s="12" t="inlineStr">
        <is>
          <t>REC-06</t>
        </is>
      </c>
      <c r="N20" s="12" t="inlineStr">
        <is>
          <t>Cùng primitive; rankFactor1.25; tên minh họa</t>
        </is>
      </c>
    </row>
    <row r="21" ht="31" customHeight="1">
      <c r="A21" s="11" t="inlineStr">
        <is>
          <t>GU-17</t>
        </is>
      </c>
      <c r="B21" s="11" t="inlineStr">
        <is>
          <t>Băng Tằm Cổ II</t>
        </is>
      </c>
      <c r="C21" s="11" t="inlineStr">
        <is>
          <t>II</t>
        </is>
      </c>
      <c r="D21" s="11" t="inlineStr">
        <is>
          <t>Khống chế</t>
        </is>
      </c>
      <c r="E21" s="11" t="inlineStr">
        <is>
          <t>slow</t>
        </is>
      </c>
      <c r="F21" s="11" t="inlineStr">
        <is>
          <t>enemy</t>
        </is>
      </c>
      <c r="G21" s="11" t="n">
        <v>23</v>
      </c>
      <c r="H21" s="11" t="n">
        <v>12</v>
      </c>
      <c r="I21" s="11" t="n">
        <v>8</v>
      </c>
      <c r="J21" s="11" t="n">
        <v>5</v>
      </c>
      <c r="K21" s="11" t="n">
        <v>3</v>
      </c>
      <c r="L21" s="11" t="inlineStr">
        <is>
          <t>MAT-04</t>
        </is>
      </c>
      <c r="M21" s="11" t="inlineStr">
        <is>
          <t>REC-07</t>
        </is>
      </c>
      <c r="N21" s="11" t="inlineStr">
        <is>
          <t>Cùng primitive; rankFactor1.25; tên minh họa</t>
        </is>
      </c>
    </row>
    <row r="22" ht="31" customHeight="1">
      <c r="A22" s="12" t="inlineStr">
        <is>
          <t>GU-18</t>
        </is>
      </c>
      <c r="B22" s="12" t="inlineStr">
        <is>
          <t>Hóa Thạch Cổ II</t>
        </is>
      </c>
      <c r="C22" s="12" t="inlineStr">
        <is>
          <t>II</t>
        </is>
      </c>
      <c r="D22" s="12" t="inlineStr">
        <is>
          <t>Khống chế</t>
        </is>
      </c>
      <c r="E22" s="12" t="inlineStr">
        <is>
          <t>stun</t>
        </is>
      </c>
      <c r="F22" s="12" t="inlineStr">
        <is>
          <t>enemy</t>
        </is>
      </c>
      <c r="G22" s="12" t="n">
        <v>11.5</v>
      </c>
      <c r="H22" s="12" t="n">
        <v>18</v>
      </c>
      <c r="I22" s="12" t="n">
        <v>14</v>
      </c>
      <c r="J22" s="12" t="n">
        <v>4</v>
      </c>
      <c r="K22" s="12" t="n">
        <v>1.2</v>
      </c>
      <c r="L22" s="12" t="inlineStr">
        <is>
          <t>MAT-02</t>
        </is>
      </c>
      <c r="M22" s="12" t="inlineStr">
        <is>
          <t>REC-08</t>
        </is>
      </c>
      <c r="N22" s="12" t="inlineStr">
        <is>
          <t>Cùng primitive; rankFactor1.25; tên minh họa</t>
        </is>
      </c>
    </row>
    <row r="23" ht="31" customHeight="1">
      <c r="A23" s="11" t="inlineStr">
        <is>
          <t>GU-19</t>
        </is>
      </c>
      <c r="B23" s="11" t="inlineStr">
        <is>
          <t>Hồi Xuân Cổ II</t>
        </is>
      </c>
      <c r="C23" s="11" t="inlineStr">
        <is>
          <t>II</t>
        </is>
      </c>
      <c r="D23" s="11" t="inlineStr">
        <is>
          <t>Phụ trợ</t>
        </is>
      </c>
      <c r="E23" s="11" t="inlineStr">
        <is>
          <t>heal</t>
        </is>
      </c>
      <c r="F23" s="11" t="inlineStr">
        <is>
          <t>ally/self</t>
        </is>
      </c>
      <c r="G23" s="11" t="n">
        <v>74.8</v>
      </c>
      <c r="H23" s="11" t="n">
        <v>17</v>
      </c>
      <c r="I23" s="11" t="n">
        <v>12</v>
      </c>
      <c r="J23" s="11" t="n">
        <v>4</v>
      </c>
      <c r="K23" s="11" t="n">
        <v>0</v>
      </c>
      <c r="L23" s="11" t="inlineStr">
        <is>
          <t>MAT-03</t>
        </is>
      </c>
      <c r="M23" s="11" t="inlineStr">
        <is>
          <t>REC-09</t>
        </is>
      </c>
      <c r="N23" s="11" t="inlineStr">
        <is>
          <t>Cùng primitive; rankFactor1.25; tên minh họa</t>
        </is>
      </c>
    </row>
    <row r="24" ht="31" customHeight="1">
      <c r="A24" s="12" t="inlineStr">
        <is>
          <t>GU-20</t>
        </is>
      </c>
      <c r="B24" s="12" t="inlineStr">
        <is>
          <t>Địa Thính Cổ II</t>
        </is>
      </c>
      <c r="C24" s="12" t="inlineStr">
        <is>
          <t>II</t>
        </is>
      </c>
      <c r="D24" s="12" t="inlineStr">
        <is>
          <t>Do thám</t>
        </is>
      </c>
      <c r="E24" s="12" t="inlineStr">
        <is>
          <t>buff</t>
        </is>
      </c>
      <c r="F24" s="12" t="inlineStr">
        <is>
          <t>passive</t>
        </is>
      </c>
      <c r="G24" s="12" t="n">
        <v>4</v>
      </c>
      <c r="H24" s="12" t="n">
        <v>0</v>
      </c>
      <c r="I24" s="12" t="n">
        <v>0</v>
      </c>
      <c r="J24" s="12" t="n">
        <v>0</v>
      </c>
      <c r="K24" s="12" t="n">
        <v>0</v>
      </c>
      <c r="L24" s="12" t="inlineStr">
        <is>
          <t>MAT-01</t>
        </is>
      </c>
      <c r="M24" s="12" t="inlineStr">
        <is>
          <t>REC-10</t>
        </is>
      </c>
      <c r="N24" s="12" t="inlineStr">
        <is>
          <t>Cùng primitive; rankFactor1.25; tên minh họa</t>
        </is>
      </c>
    </row>
  </sheetData>
  <autoFilter ref="A4:N24"/>
  <mergeCells count="2">
    <mergeCell ref="A2:N2"/>
    <mergeCell ref="A1:N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F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05" customWidth="1" min="4" max="4"/>
    <col width="75" customWidth="1" min="5" max="5"/>
    <col width="80" customWidth="1" min="6" max="6"/>
  </cols>
  <sheetData>
    <row r="1" ht="34" customHeight="1">
      <c r="A1" s="1" t="inlineStr">
        <is>
          <t>12 / Maps • Mobs • Items • Recipes • Quests</t>
        </is>
      </c>
    </row>
    <row r="2" ht="31" customHeight="1">
      <c r="A2" s="2" t="inlineStr">
        <is>
          <t>Catalog nhápv0.1; giá/số lượng là giả định thiết kế, không phải dữ liệu thị trường. Q01–08 tổng 4500 XP, đủ level 10 trước rank II.</t>
        </is>
      </c>
    </row>
    <row r="4" ht="31" customHeight="1">
      <c r="A4" s="3" t="inlineStr">
        <is>
          <t>Loại</t>
        </is>
      </c>
      <c r="B4" s="3" t="inlineStr">
        <is>
          <t>ID</t>
        </is>
      </c>
      <c r="C4" s="3" t="inlineStr">
        <is>
          <t>Tên / Inputs</t>
        </is>
      </c>
      <c r="D4" s="3" t="inlineStr">
        <is>
          <t>Chi tiết / Luật</t>
        </is>
      </c>
      <c r="E4" s="3" t="inlineStr">
        <is>
          <t>Điều kiện / Output</t>
        </is>
      </c>
      <c r="F4" s="3" t="inlineStr">
        <is>
          <t>Owner / Reward</t>
        </is>
      </c>
    </row>
    <row r="5" ht="31" customHeight="1">
      <c r="A5" s="11" t="inlineStr">
        <is>
          <t>Map</t>
        </is>
      </c>
      <c r="B5" s="11" t="inlineStr">
        <is>
          <t>MAP-01</t>
        </is>
      </c>
      <c r="C5" s="11" t="inlineStr">
        <is>
          <t>Thị trấn Sơn Trại</t>
        </is>
      </c>
      <c r="D5" s="11" t="inlineStr">
        <is>
          <t>Safe zone,4 NPC, spawn, training target, portal farm;64×64 tile</t>
        </is>
      </c>
      <c r="E5" s="11" t="inlineStr">
        <is>
          <t>RankI; không PvP</t>
        </is>
      </c>
      <c r="F5" s="11" t="inlineStr">
        <is>
          <t>AR+GD</t>
        </is>
      </c>
    </row>
    <row r="6" ht="31" customHeight="1">
      <c r="A6" s="12" t="inlineStr">
        <is>
          <t>Map</t>
        </is>
      </c>
      <c r="B6" s="12" t="inlineStr">
        <is>
          <t>MAP-02</t>
        </is>
      </c>
      <c r="C6" s="12" t="inlineStr">
        <is>
          <t>Vạn Thú Sơn</t>
        </is>
      </c>
      <c r="D6" s="12" t="inlineStr">
        <is>
          <t>Open farm 3 bãi theo level;128×128 tile;≤20 player/room;50 active mobs</t>
        </is>
      </c>
      <c r="E6" s="12" t="inlineStr">
        <is>
          <t>Level 1–20; capture; noopenPK</t>
        </is>
      </c>
      <c r="F6" s="12" t="inlineStr">
        <is>
          <t>AR+GD</t>
        </is>
      </c>
    </row>
    <row r="7" ht="31" customHeight="1">
      <c r="A7" s="11" t="inlineStr">
        <is>
          <t>Map</t>
        </is>
      </c>
      <c r="B7" s="11" t="inlineStr">
        <is>
          <t>MAP-03</t>
        </is>
      </c>
      <c r="C7" s="11" t="inlineStr">
        <is>
          <t>Di tích Bạch Cốt</t>
        </is>
      </c>
      <c r="D7" s="11" t="inlineStr">
        <is>
          <t>Dungeon 1–3;64×64 tile;1 boss 2 pattern;15min</t>
        </is>
      </c>
      <c r="E7" s="11" t="inlineStr">
        <is>
          <t>Level 10/rank II</t>
        </is>
      </c>
      <c r="F7" s="11" t="inlineStr">
        <is>
          <t>AR+GD</t>
        </is>
      </c>
    </row>
    <row r="8" ht="31" customHeight="1">
      <c r="A8" s="12" t="inlineStr">
        <is>
          <t>Map variant</t>
        </is>
      </c>
      <c r="B8" s="12" t="inlineStr">
        <is>
          <t>MAP-02A</t>
        </is>
      </c>
      <c r="C8" s="12" t="inlineStr">
        <is>
          <t>Đấu trường thử luyện</t>
        </is>
      </c>
      <c r="D8" s="12" t="inlineStr">
        <is>
          <t>Tái dùng 1 vùng MAP-02, instance 2 người; không tính map asset mới</t>
        </is>
      </c>
      <c r="E8" s="12" t="inlineStr">
        <is>
          <t>Opt-in; no rewards</t>
        </is>
      </c>
      <c r="F8" s="12" t="inlineStr">
        <is>
          <t>AR+GD</t>
        </is>
      </c>
    </row>
    <row r="9" ht="31" customHeight="1">
      <c r="A9" s="11" t="inlineStr">
        <is>
          <t>NPC</t>
        </is>
      </c>
      <c r="B9" s="11" t="inlineStr">
        <is>
          <t>NPC-01</t>
        </is>
      </c>
      <c r="C9" s="11" t="inlineStr">
        <is>
          <t>Dẫn lộ</t>
        </is>
      </c>
      <c r="D9" s="11" t="inlineStr">
        <is>
          <t>Tutorial,8mainquests</t>
        </is>
      </c>
      <c r="E9" s="11" t="inlineStr">
        <is>
          <t>Town</t>
        </is>
      </c>
      <c r="F9" s="11" t="inlineStr">
        <is>
          <t>GD</t>
        </is>
      </c>
    </row>
    <row r="10" ht="31" customHeight="1">
      <c r="A10" s="12" t="inlineStr">
        <is>
          <t>NPC</t>
        </is>
      </c>
      <c r="B10" s="12" t="inlineStr">
        <is>
          <t>NPC-02</t>
        </is>
      </c>
      <c r="C10" s="12" t="inlineStr">
        <is>
          <t>Cổ thương</t>
        </is>
      </c>
      <c r="D10" s="12" t="inlineStr">
        <is>
          <t>Food/seal/material fixed shop</t>
        </is>
      </c>
      <c r="E10" s="12" t="inlineStr">
        <is>
          <t>Town; shop range 2 tile</t>
        </is>
      </c>
      <c r="F10" s="12" t="inlineStr">
        <is>
          <t>GD</t>
        </is>
      </c>
    </row>
    <row r="11" ht="31" customHeight="1">
      <c r="A11" s="11" t="inlineStr">
        <is>
          <t>NPC</t>
        </is>
      </c>
      <c r="B11" s="11" t="inlineStr">
        <is>
          <t>NPC-03</t>
        </is>
      </c>
      <c r="C11" s="11" t="inlineStr">
        <is>
          <t>Luyện Cổ sư</t>
        </is>
      </c>
      <c r="D11" s="11" t="inlineStr">
        <is>
          <t>Refine/rank-up UI</t>
        </is>
      </c>
      <c r="E11" s="11" t="inlineStr">
        <is>
          <t>Town; recipe/rank validate</t>
        </is>
      </c>
      <c r="F11" s="11" t="inlineStr">
        <is>
          <t>GD</t>
        </is>
      </c>
    </row>
    <row r="12" ht="31" customHeight="1">
      <c r="A12" s="12" t="inlineStr">
        <is>
          <t>NPC</t>
        </is>
      </c>
      <c r="B12" s="12" t="inlineStr">
        <is>
          <t>NPC-04</t>
        </is>
      </c>
      <c r="C12" s="12" t="inlineStr">
        <is>
          <t>Thủ hộ di tích</t>
        </is>
      </c>
      <c r="D12" s="12" t="inlineStr">
        <is>
          <t>2sidequests; dungeon portal</t>
        </is>
      </c>
      <c r="E12" s="12" t="inlineStr">
        <is>
          <t>Town/farm portal</t>
        </is>
      </c>
      <c r="F12" s="12" t="inlineStr">
        <is>
          <t>GD</t>
        </is>
      </c>
    </row>
    <row r="13" ht="31" customHeight="1">
      <c r="A13" s="11" t="inlineStr">
        <is>
          <t>Item</t>
        </is>
      </c>
      <c r="B13" s="11" t="inlineStr">
        <is>
          <t>MAT-01</t>
        </is>
      </c>
      <c r="C13" s="11" t="inlineStr">
        <is>
          <t>Thịt thú</t>
        </is>
      </c>
      <c r="D13" s="11" t="inlineStr">
        <is>
          <t>Food meat; stack 99; NPCbuy8/sell 2 currency</t>
        </is>
      </c>
      <c r="E13" s="11" t="inlineStr">
        <is>
          <t>Farm normal; GU01/GU10</t>
        </is>
      </c>
      <c r="F13" s="11" t="inlineStr">
        <is>
          <t>GD</t>
        </is>
      </c>
    </row>
    <row r="14" ht="31" customHeight="1">
      <c r="A14" s="12" t="inlineStr">
        <is>
          <t>Item</t>
        </is>
      </c>
      <c r="B14" s="12" t="inlineStr">
        <is>
          <t>MAT-02</t>
        </is>
      </c>
      <c r="C14" s="12" t="inlineStr">
        <is>
          <t>Chân Nguyên Thạch</t>
        </is>
      </c>
      <c r="D14" s="12" t="inlineStr">
        <is>
          <t>Food mineral/refine/rank-up; stack 99; buy 20/sell 5</t>
        </is>
      </c>
      <c r="E14" s="12" t="inlineStr">
        <is>
          <t>Farm elite/quest; GU03/04/08</t>
        </is>
      </c>
      <c r="F14" s="12" t="inlineStr">
        <is>
          <t>GD</t>
        </is>
      </c>
    </row>
    <row r="15" ht="31" customHeight="1">
      <c r="A15" s="11" t="inlineStr">
        <is>
          <t>Item</t>
        </is>
      </c>
      <c r="B15" s="11" t="inlineStr">
        <is>
          <t>MAT-03</t>
        </is>
      </c>
      <c r="C15" s="11" t="inlineStr">
        <is>
          <t>Linh quả</t>
        </is>
      </c>
      <c r="D15" s="11" t="inlineStr">
        <is>
          <t>Food fruit; stack 99; buy 8/sell 2</t>
        </is>
      </c>
      <c r="E15" s="11" t="inlineStr">
        <is>
          <t>Farm normal; GU05/06/09</t>
        </is>
      </c>
      <c r="F15" s="11" t="inlineStr">
        <is>
          <t>GD</t>
        </is>
      </c>
    </row>
    <row r="16" ht="31" customHeight="1">
      <c r="A16" s="12" t="inlineStr">
        <is>
          <t>Item</t>
        </is>
      </c>
      <c r="B16" s="12" t="inlineStr">
        <is>
          <t>MAT-04</t>
        </is>
      </c>
      <c r="C16" s="12" t="inlineStr">
        <is>
          <t>Mật linh hoa</t>
        </is>
      </c>
      <c r="D16" s="12" t="inlineStr">
        <is>
          <t>Food nectar; stack 99; buy 8/sell 2</t>
        </is>
      </c>
      <c r="E16" s="12" t="inlineStr">
        <is>
          <t>Farm normal; GU02/07</t>
        </is>
      </c>
      <c r="F16" s="12" t="inlineStr">
        <is>
          <t>GD</t>
        </is>
      </c>
    </row>
    <row r="17" ht="31" customHeight="1">
      <c r="A17" s="11" t="inlineStr">
        <is>
          <t>Item</t>
        </is>
      </c>
      <c r="B17" s="11" t="inlineStr">
        <is>
          <t>MAT-05</t>
        </is>
      </c>
      <c r="C17" s="11" t="inlineStr">
        <is>
          <t>Tơ luyện</t>
        </is>
      </c>
      <c r="D17" s="11" t="inlineStr">
        <is>
          <t>Refine material; stack 99; buy 15/sell 3</t>
        </is>
      </c>
      <c r="E17" s="11" t="inlineStr">
        <is>
          <t>Farm normal/quest</t>
        </is>
      </c>
      <c r="F17" s="11" t="inlineStr">
        <is>
          <t>GD</t>
        </is>
      </c>
    </row>
    <row r="18" ht="31" customHeight="1">
      <c r="A18" s="12" t="inlineStr">
        <is>
          <t>Item</t>
        </is>
      </c>
      <c r="B18" s="12" t="inlineStr">
        <is>
          <t>MAT-06</t>
        </is>
      </c>
      <c r="C18" s="12" t="inlineStr">
        <is>
          <t>Tinh huyết</t>
        </is>
      </c>
      <c r="D18" s="12" t="inlineStr">
        <is>
          <t>Refine material; stack 99; buy 25/sell 5</t>
        </is>
      </c>
      <c r="E18" s="12" t="inlineStr">
        <is>
          <t>Elite/boss</t>
        </is>
      </c>
      <c r="F18" s="12" t="inlineStr">
        <is>
          <t>GD</t>
        </is>
      </c>
    </row>
    <row r="19" ht="31" customHeight="1">
      <c r="A19" s="11" t="inlineStr">
        <is>
          <t>Item</t>
        </is>
      </c>
      <c r="B19" s="11" t="inlineStr">
        <is>
          <t>MAT-07</t>
        </is>
      </c>
      <c r="C19" s="11" t="inlineStr">
        <is>
          <t>Cốt phấn</t>
        </is>
      </c>
      <c r="D19" s="11" t="inlineStr">
        <is>
          <t>Refine material; stack 99; buy 15/sell 3</t>
        </is>
      </c>
      <c r="E19" s="11" t="inlineStr">
        <is>
          <t>Farm normal</t>
        </is>
      </c>
      <c r="F19" s="11" t="inlineStr">
        <is>
          <t>GD</t>
        </is>
      </c>
    </row>
    <row r="20" ht="31" customHeight="1">
      <c r="A20" s="12" t="inlineStr">
        <is>
          <t>Item</t>
        </is>
      </c>
      <c r="B20" s="12" t="inlineStr">
        <is>
          <t>MAT-08</t>
        </is>
      </c>
      <c r="C20" s="12" t="inlineStr">
        <is>
          <t>Linh thảo</t>
        </is>
      </c>
      <c r="D20" s="12" t="inlineStr">
        <is>
          <t>Refine material; stack 99; buy 15/sell 3</t>
        </is>
      </c>
      <c r="E20" s="12" t="inlineStr">
        <is>
          <t>Farm normal</t>
        </is>
      </c>
      <c r="F20" s="12" t="inlineStr">
        <is>
          <t>GD</t>
        </is>
      </c>
    </row>
    <row r="21" ht="31" customHeight="1">
      <c r="A21" s="11" t="inlineStr">
        <is>
          <t>Item</t>
        </is>
      </c>
      <c r="B21" s="11" t="inlineStr">
        <is>
          <t>MAT-09</t>
        </is>
      </c>
      <c r="C21" s="11" t="inlineStr">
        <is>
          <t>Phong ấn bắt Cổ</t>
        </is>
      </c>
      <c r="D21" s="11" t="inlineStr">
        <is>
          <t>Capture seal; stack 99; buy 10/sell 1; starter 5</t>
        </is>
      </c>
      <c r="E21" s="11" t="inlineStr">
        <is>
          <t>Tiêu ở capture channel start</t>
        </is>
      </c>
      <c r="F21" s="11" t="inlineStr">
        <is>
          <t>GD</t>
        </is>
      </c>
    </row>
    <row r="22" ht="31" customHeight="1">
      <c r="A22" s="12" t="inlineStr">
        <is>
          <t>Item</t>
        </is>
      </c>
      <c r="B22" s="12" t="inlineStr">
        <is>
          <t>MAT-10</t>
        </is>
      </c>
      <c r="C22" s="12" t="inlineStr">
        <is>
          <t>Hồi nguyên tán</t>
        </is>
      </c>
      <c r="D22" s="12" t="inlineStr">
        <is>
          <t>Consumable; stack 99; buy 10/sell 2;+30 mana, CD10s</t>
        </is>
      </c>
      <c r="E22" s="12" t="inlineStr">
        <is>
          <t>Hotkey 1; notusabledead</t>
        </is>
      </c>
      <c r="F22" s="12" t="inlineStr">
        <is>
          <t>GD</t>
        </is>
      </c>
    </row>
    <row r="23" ht="39" customHeight="1">
      <c r="A23" s="11" t="inlineStr">
        <is>
          <t>Mob</t>
        </is>
      </c>
      <c r="B23" s="11" t="inlineStr">
        <is>
          <t>MOB-01</t>
        </is>
      </c>
      <c r="C23" s="11" t="inlineStr">
        <is>
          <t>Sói rừng</t>
        </is>
      </c>
      <c r="D23" s="11" t="inlineStr">
        <is>
          <t>Normal; level 1; HP=120; damage=7; XP=15; currency=3; respawn20s</t>
        </is>
      </c>
      <c r="E23" s="11" t="inlineStr">
        <is>
          <t>Loot roll 1 material 60%; food 25%; Gu3% khi kill; capture flag theo spawn config</t>
        </is>
      </c>
      <c r="F23" s="11" t="inlineStr">
        <is>
          <t>GD+AR</t>
        </is>
      </c>
    </row>
    <row r="24" ht="39" customHeight="1">
      <c r="A24" s="12" t="inlineStr">
        <is>
          <t>Mob</t>
        </is>
      </c>
      <c r="B24" s="12" t="inlineStr">
        <is>
          <t>MOB-02</t>
        </is>
      </c>
      <c r="C24" s="12" t="inlineStr">
        <is>
          <t>Hạc núi</t>
        </is>
      </c>
      <c r="D24" s="12" t="inlineStr">
        <is>
          <t>Normal; level 3; HP=160; damage=9; XP=20; currency=4; respawn20s</t>
        </is>
      </c>
      <c r="E24" s="12" t="inlineStr">
        <is>
          <t>Loot roll 1 material 60%; food 25%; Gu3% khi kill; capture flag theo spawn config</t>
        </is>
      </c>
      <c r="F24" s="12" t="inlineStr">
        <is>
          <t>GD+AR</t>
        </is>
      </c>
    </row>
    <row r="25" ht="39" customHeight="1">
      <c r="A25" s="11" t="inlineStr">
        <is>
          <t>Mob</t>
        </is>
      </c>
      <c r="B25" s="11" t="inlineStr">
        <is>
          <t>MOB-03</t>
        </is>
      </c>
      <c r="C25" s="11" t="inlineStr">
        <is>
          <t>Sơn thú</t>
        </is>
      </c>
      <c r="D25" s="11" t="inlineStr">
        <is>
          <t>Normal; level 5; HP=200; damage=11; XP=25; currency=5; respawn20s</t>
        </is>
      </c>
      <c r="E25" s="11" t="inlineStr">
        <is>
          <t>Loot roll 1 material 60%; food 25%; Gu3% khi kill; capture flag theo spawn config</t>
        </is>
      </c>
      <c r="F25" s="11" t="inlineStr">
        <is>
          <t>GD+AR</t>
        </is>
      </c>
    </row>
    <row r="26" ht="39" customHeight="1">
      <c r="A26" s="12" t="inlineStr">
        <is>
          <t>Mob</t>
        </is>
      </c>
      <c r="B26" s="12" t="inlineStr">
        <is>
          <t>MOB-04</t>
        </is>
      </c>
      <c r="C26" s="12" t="inlineStr">
        <is>
          <t>Băng tằm</t>
        </is>
      </c>
      <c r="D26" s="12" t="inlineStr">
        <is>
          <t>Normal; level 7; HP=240; damage=13; XP=30; currency=6; respawn20s</t>
        </is>
      </c>
      <c r="E26" s="12" t="inlineStr">
        <is>
          <t>Loot roll 1 material 60%; food 25%; Gu3% khi kill; capture flag theo spawn config</t>
        </is>
      </c>
      <c r="F26" s="12" t="inlineStr">
        <is>
          <t>GD+AR</t>
        </is>
      </c>
    </row>
    <row r="27" ht="39" customHeight="1">
      <c r="A27" s="11" t="inlineStr">
        <is>
          <t>Mob</t>
        </is>
      </c>
      <c r="B27" s="11" t="inlineStr">
        <is>
          <t>MOB-05</t>
        </is>
      </c>
      <c r="C27" s="11" t="inlineStr">
        <is>
          <t>Độc trùng</t>
        </is>
      </c>
      <c r="D27" s="11" t="inlineStr">
        <is>
          <t>Normal; level 10; HP=280; damage=15; XP=35; currency=7; respawn20s</t>
        </is>
      </c>
      <c r="E27" s="11" t="inlineStr">
        <is>
          <t>Loot roll 1 material 60%; food 25%; Gu3% khi kill; capture flag theo spawn config</t>
        </is>
      </c>
      <c r="F27" s="11" t="inlineStr">
        <is>
          <t>GD+AR</t>
        </is>
      </c>
    </row>
    <row r="28" ht="39" customHeight="1">
      <c r="A28" s="12" t="inlineStr">
        <is>
          <t>Mob</t>
        </is>
      </c>
      <c r="B28" s="12" t="inlineStr">
        <is>
          <t>MOB-06</t>
        </is>
      </c>
      <c r="C28" s="12" t="inlineStr">
        <is>
          <t>Cốt binh</t>
        </is>
      </c>
      <c r="D28" s="12" t="inlineStr">
        <is>
          <t>Normal; level 13; HP=320; damage=17; XP=40; currency=8; respawn20s</t>
        </is>
      </c>
      <c r="E28" s="12" t="inlineStr">
        <is>
          <t>Loot roll 1 material 60%; food 25%; Gu3% khi kill; capture flag theo spawn config</t>
        </is>
      </c>
      <c r="F28" s="12" t="inlineStr">
        <is>
          <t>GD+AR</t>
        </is>
      </c>
    </row>
    <row r="29" ht="31" customHeight="1">
      <c r="A29" s="11" t="inlineStr">
        <is>
          <t>Mob</t>
        </is>
      </c>
      <c r="B29" s="11" t="inlineStr">
        <is>
          <t>MOB-07</t>
        </is>
      </c>
      <c r="C29" s="11" t="inlineStr">
        <is>
          <t>Sói đầu đàn</t>
        </is>
      </c>
      <c r="D29" s="11" t="inlineStr">
        <is>
          <t>Elite level 10; HP900; XP 120; currency 40; respawn60s</t>
        </is>
      </c>
      <c r="E29" s="11" t="inlineStr">
        <is>
          <t>MAT-02/MAT-06; capture GU04/08/10</t>
        </is>
      </c>
      <c r="F29" s="11" t="inlineStr">
        <is>
          <t>GD+AR</t>
        </is>
      </c>
    </row>
    <row r="30" ht="31" customHeight="1">
      <c r="A30" s="12" t="inlineStr">
        <is>
          <t>Mob</t>
        </is>
      </c>
      <c r="B30" s="12" t="inlineStr">
        <is>
          <t>MOB-08</t>
        </is>
      </c>
      <c r="C30" s="12" t="inlineStr">
        <is>
          <t>Cốt vệ</t>
        </is>
      </c>
      <c r="D30" s="12" t="inlineStr">
        <is>
          <t>Elite level 15; HP1400; XP 180; currency 60; respawn60s</t>
        </is>
      </c>
      <c r="E30" s="12" t="inlineStr">
        <is>
          <t>MAT-02/MAT-06; capture GU04/08/10</t>
        </is>
      </c>
      <c r="F30" s="12" t="inlineStr">
        <is>
          <t>GD+AR</t>
        </is>
      </c>
    </row>
    <row r="31" ht="31" customHeight="1">
      <c r="A31" s="11" t="inlineStr">
        <is>
          <t>Boss</t>
        </is>
      </c>
      <c r="B31" s="11" t="inlineStr">
        <is>
          <t>BOSS-01</t>
        </is>
      </c>
      <c r="C31" s="11" t="inlineStr">
        <is>
          <t>Bạch Cốt Dị Thú</t>
        </is>
      </c>
      <c r="D31" s="11" t="inlineStr">
        <is>
          <t>Level 15; HP6000;2 pattern: cone1.2s windup, groundAoE1.8s windup; damage 35/55</t>
        </is>
      </c>
      <c r="E31" s="11" t="inlineStr">
        <is>
          <t>Personal reward 200 currency,300 XP,3MAT-02,2MAT-06; one/run</t>
        </is>
      </c>
      <c r="F31" s="11" t="inlineStr">
        <is>
          <t>GD+AR</t>
        </is>
      </c>
    </row>
    <row r="32" ht="31" customHeight="1">
      <c r="A32" s="12" t="inlineStr">
        <is>
          <t>Starter</t>
        </is>
      </c>
      <c r="B32" s="12" t="inlineStr">
        <is>
          <t>START-01</t>
        </is>
      </c>
      <c r="C32" s="12" t="inlineStr">
        <is>
          <t>Gói khởi đầu</t>
        </is>
      </c>
      <c r="D32" s="12" t="inlineStr">
        <is>
          <t>GU-01,03,05,07;5MAT-09;4MAT-01/02/03/04;3MAT-10;100 currency</t>
        </is>
      </c>
      <c r="E32" s="12" t="inlineStr">
        <is>
          <t>Issueonce/character; equippedGu vẫn chiếm slot bag</t>
        </is>
      </c>
      <c r="F32" s="12" t="inlineStr">
        <is>
          <t>SV+GD</t>
        </is>
      </c>
    </row>
    <row r="33" ht="39" customHeight="1">
      <c r="A33" s="11" t="inlineStr">
        <is>
          <t>Recipe</t>
        </is>
      </c>
      <c r="B33" s="11" t="inlineStr">
        <is>
          <t>REC-01</t>
        </is>
      </c>
      <c r="C33" s="11" t="inlineStr">
        <is>
          <t>GU-01 + GU-02</t>
        </is>
      </c>
      <c r="D33" s="11" t="inlineStr">
        <is>
          <t>Hai instance khác nhau, rank I, unlocked/unequipped; 3 MAT-02 + 2 MAT-05; fee 100; chance 70% +10%/fail</t>
        </is>
      </c>
      <c r="E33" s="11" t="inlineStr">
        <is>
          <t>GU-11</t>
        </is>
      </c>
      <c r="F33" s="11" t="inlineStr">
        <is>
          <t>Success mất 2 Gu; fail giữ 2 Gu; cả hai mất material+100 currency</t>
        </is>
      </c>
    </row>
    <row r="34" ht="39" customHeight="1">
      <c r="A34" s="12" t="inlineStr">
        <is>
          <t>Recipe</t>
        </is>
      </c>
      <c r="B34" s="12" t="inlineStr">
        <is>
          <t>REC-02</t>
        </is>
      </c>
      <c r="C34" s="12" t="inlineStr">
        <is>
          <t>GU-02 + GU-03</t>
        </is>
      </c>
      <c r="D34" s="12" t="inlineStr">
        <is>
          <t>Hai instance khác nhau, rank I, unlocked/unequipped; 3 MAT-02 + 2 MAT-05; fee 100; chance 70% +10%/fail</t>
        </is>
      </c>
      <c r="E34" s="12" t="inlineStr">
        <is>
          <t>GU-12</t>
        </is>
      </c>
      <c r="F34" s="12" t="inlineStr">
        <is>
          <t>Success mất 2 Gu; fail giữ 2 Gu; cả hai mất material+100 currency</t>
        </is>
      </c>
    </row>
    <row r="35" ht="39" customHeight="1">
      <c r="A35" s="11" t="inlineStr">
        <is>
          <t>Recipe</t>
        </is>
      </c>
      <c r="B35" s="11" t="inlineStr">
        <is>
          <t>REC-03</t>
        </is>
      </c>
      <c r="C35" s="11" t="inlineStr">
        <is>
          <t>GU-03 + GU-04</t>
        </is>
      </c>
      <c r="D35" s="11" t="inlineStr">
        <is>
          <t>Hai instance khác nhau, rank I, unlocked/unequipped; 3 MAT-02 + 2 MAT-05; fee 100; chance 70% +10%/fail</t>
        </is>
      </c>
      <c r="E35" s="11" t="inlineStr">
        <is>
          <t>GU-13</t>
        </is>
      </c>
      <c r="F35" s="11" t="inlineStr">
        <is>
          <t>Success mất 2 Gu; fail giữ 2 Gu; cả hai mất material+100 currency</t>
        </is>
      </c>
    </row>
    <row r="36" ht="39" customHeight="1">
      <c r="A36" s="12" t="inlineStr">
        <is>
          <t>Recipe</t>
        </is>
      </c>
      <c r="B36" s="12" t="inlineStr">
        <is>
          <t>REC-04</t>
        </is>
      </c>
      <c r="C36" s="12" t="inlineStr">
        <is>
          <t>GU-04 + GU-05</t>
        </is>
      </c>
      <c r="D36" s="12" t="inlineStr">
        <is>
          <t>Hai instance khác nhau, rank I, unlocked/unequipped; 3 MAT-02 + 2 MAT-05; fee 100; chance 70% +10%/fail</t>
        </is>
      </c>
      <c r="E36" s="12" t="inlineStr">
        <is>
          <t>GU-14</t>
        </is>
      </c>
      <c r="F36" s="12" t="inlineStr">
        <is>
          <t>Success mất 2 Gu; fail giữ 2 Gu; cả hai mất material+100 currency</t>
        </is>
      </c>
    </row>
    <row r="37" ht="39" customHeight="1">
      <c r="A37" s="11" t="inlineStr">
        <is>
          <t>Recipe</t>
        </is>
      </c>
      <c r="B37" s="11" t="inlineStr">
        <is>
          <t>REC-05</t>
        </is>
      </c>
      <c r="C37" s="11" t="inlineStr">
        <is>
          <t>GU-05 + GU-06</t>
        </is>
      </c>
      <c r="D37" s="11" t="inlineStr">
        <is>
          <t>Hai instance khác nhau, rank I, unlocked/unequipped; 3 MAT-02 + 2 MAT-05; fee 100; chance 70% +10%/fail</t>
        </is>
      </c>
      <c r="E37" s="11" t="inlineStr">
        <is>
          <t>GU-15</t>
        </is>
      </c>
      <c r="F37" s="11" t="inlineStr">
        <is>
          <t>Success mất 2 Gu; fail giữ 2 Gu; cả hai mất material+100 currency</t>
        </is>
      </c>
    </row>
    <row r="38" ht="39" customHeight="1">
      <c r="A38" s="12" t="inlineStr">
        <is>
          <t>Recipe</t>
        </is>
      </c>
      <c r="B38" s="12" t="inlineStr">
        <is>
          <t>REC-06</t>
        </is>
      </c>
      <c r="C38" s="12" t="inlineStr">
        <is>
          <t>GU-06 + GU-07</t>
        </is>
      </c>
      <c r="D38" s="12" t="inlineStr">
        <is>
          <t>Hai instance khác nhau, rank I, unlocked/unequipped; 3 MAT-02 + 2 MAT-05; fee 100; chance 70% +10%/fail</t>
        </is>
      </c>
      <c r="E38" s="12" t="inlineStr">
        <is>
          <t>GU-16</t>
        </is>
      </c>
      <c r="F38" s="12" t="inlineStr">
        <is>
          <t>Success mất 2 Gu; fail giữ 2 Gu; cả hai mất material+100 currency</t>
        </is>
      </c>
    </row>
    <row r="39" ht="39" customHeight="1">
      <c r="A39" s="11" t="inlineStr">
        <is>
          <t>Recipe</t>
        </is>
      </c>
      <c r="B39" s="11" t="inlineStr">
        <is>
          <t>REC-07</t>
        </is>
      </c>
      <c r="C39" s="11" t="inlineStr">
        <is>
          <t>GU-07 + GU-08</t>
        </is>
      </c>
      <c r="D39" s="11" t="inlineStr">
        <is>
          <t>Hai instance khác nhau, rank I, unlocked/unequipped; 3 MAT-02 + 2 MAT-05; fee 100; chance 70% +10%/fail</t>
        </is>
      </c>
      <c r="E39" s="11" t="inlineStr">
        <is>
          <t>GU-17</t>
        </is>
      </c>
      <c r="F39" s="11" t="inlineStr">
        <is>
          <t>Success mất 2 Gu; fail giữ 2 Gu; cả hai mất material+100 currency</t>
        </is>
      </c>
    </row>
    <row r="40" ht="39" customHeight="1">
      <c r="A40" s="12" t="inlineStr">
        <is>
          <t>Recipe</t>
        </is>
      </c>
      <c r="B40" s="12" t="inlineStr">
        <is>
          <t>REC-08</t>
        </is>
      </c>
      <c r="C40" s="12" t="inlineStr">
        <is>
          <t>GU-08 + GU-09</t>
        </is>
      </c>
      <c r="D40" s="12" t="inlineStr">
        <is>
          <t>Hai instance khác nhau, rank I, unlocked/unequipped; 3 MAT-02 + 2 MAT-05; fee 100; chance 70% +10%/fail</t>
        </is>
      </c>
      <c r="E40" s="12" t="inlineStr">
        <is>
          <t>GU-18</t>
        </is>
      </c>
      <c r="F40" s="12" t="inlineStr">
        <is>
          <t>Success mất 2 Gu; fail giữ 2 Gu; cả hai mất material+100 currency</t>
        </is>
      </c>
    </row>
    <row r="41" ht="39" customHeight="1">
      <c r="A41" s="11" t="inlineStr">
        <is>
          <t>Recipe</t>
        </is>
      </c>
      <c r="B41" s="11" t="inlineStr">
        <is>
          <t>REC-09</t>
        </is>
      </c>
      <c r="C41" s="11" t="inlineStr">
        <is>
          <t>GU-09 + GU-10</t>
        </is>
      </c>
      <c r="D41" s="11" t="inlineStr">
        <is>
          <t>Hai instance khác nhau, rank I, unlocked/unequipped; 3 MAT-02 + 2 MAT-05; fee 100; chance 70% +10%/fail</t>
        </is>
      </c>
      <c r="E41" s="11" t="inlineStr">
        <is>
          <t>GU-19</t>
        </is>
      </c>
      <c r="F41" s="11" t="inlineStr">
        <is>
          <t>Success mất 2 Gu; fail giữ 2 Gu; cả hai mất material+100 currency</t>
        </is>
      </c>
    </row>
    <row r="42" ht="39" customHeight="1">
      <c r="A42" s="12" t="inlineStr">
        <is>
          <t>Recipe</t>
        </is>
      </c>
      <c r="B42" s="12" t="inlineStr">
        <is>
          <t>REC-10</t>
        </is>
      </c>
      <c r="C42" s="12" t="inlineStr">
        <is>
          <t>GU-10 + GU-01</t>
        </is>
      </c>
      <c r="D42" s="12" t="inlineStr">
        <is>
          <t>Hai instance khác nhau, rank I, unlocked/unequipped; 3 MAT-02 + 2 MAT-05; fee 100; chance 70% +10%/fail</t>
        </is>
      </c>
      <c r="E42" s="12" t="inlineStr">
        <is>
          <t>GU-20</t>
        </is>
      </c>
      <c r="F42" s="12" t="inlineStr">
        <is>
          <t>Success mất 2 Gu; fail giữ 2 Gu; cả hai mất material+100 currency</t>
        </is>
      </c>
    </row>
    <row r="43" ht="31" customHeight="1">
      <c r="A43" s="11" t="inlineStr">
        <is>
          <t>Quest Main</t>
        </is>
      </c>
      <c r="B43" s="11" t="inlineStr">
        <is>
          <t>Q-01</t>
        </is>
      </c>
      <c r="C43" s="11" t="inlineStr">
        <is>
          <t>Bước đầu</t>
        </is>
      </c>
      <c r="D43" s="11" t="inlineStr">
        <is>
          <t>Đi đến marker + nóiNPC-01</t>
        </is>
      </c>
      <c r="E43" s="11" t="inlineStr">
        <is>
          <t>Không</t>
        </is>
      </c>
      <c r="F43" s="11" t="inlineStr">
        <is>
          <t>100 XP; 30 currency; 1MAT-09</t>
        </is>
      </c>
    </row>
    <row r="44" ht="31" customHeight="1">
      <c r="A44" s="12" t="inlineStr">
        <is>
          <t>Quest Main</t>
        </is>
      </c>
      <c r="B44" s="12" t="inlineStr">
        <is>
          <t>Q-02</t>
        </is>
      </c>
      <c r="C44" s="12" t="inlineStr">
        <is>
          <t>Săn thú</t>
        </is>
      </c>
      <c r="D44" s="12" t="inlineStr">
        <is>
          <t>Kill3MOB-01</t>
        </is>
      </c>
      <c r="E44" s="12" t="inlineStr">
        <is>
          <t>Q-01 claimed</t>
        </is>
      </c>
      <c r="F44" s="12" t="inlineStr">
        <is>
          <t>250 XP; 40 currency; 2MAT-01</t>
        </is>
      </c>
    </row>
    <row r="45" ht="31" customHeight="1">
      <c r="A45" s="11" t="inlineStr">
        <is>
          <t>Quest Main</t>
        </is>
      </c>
      <c r="B45" s="11" t="inlineStr">
        <is>
          <t>Q-03</t>
        </is>
      </c>
      <c r="C45" s="11" t="inlineStr">
        <is>
          <t>Chọn Cổ</t>
        </is>
      </c>
      <c r="D45" s="11" t="inlineStr">
        <is>
          <t>Mở bag+equip/inspect đủ 4 active</t>
        </is>
      </c>
      <c r="E45" s="11" t="inlineStr">
        <is>
          <t>Q-02 claimed</t>
        </is>
      </c>
      <c r="F45" s="11" t="inlineStr">
        <is>
          <t>450 XP; 60 currency; 2MAT-03</t>
        </is>
      </c>
    </row>
    <row r="46" ht="31" customHeight="1">
      <c r="A46" s="12" t="inlineStr">
        <is>
          <t>Quest Main</t>
        </is>
      </c>
      <c r="B46" s="12" t="inlineStr">
        <is>
          <t>Q-04</t>
        </is>
      </c>
      <c r="C46" s="12" t="inlineStr">
        <is>
          <t>Nuôi Cổ</t>
        </is>
      </c>
      <c r="D46" s="12" t="inlineStr">
        <is>
          <t>Feed1 Gu khi hunger&lt;100; quest hướng dẫn farm đủ 5 phút</t>
        </is>
      </c>
      <c r="E46" s="12" t="inlineStr">
        <is>
          <t>Q-03 claimed</t>
        </is>
      </c>
      <c r="F46" s="12" t="inlineStr">
        <is>
          <t>600 XP; 80 currency; 2MAT-02</t>
        </is>
      </c>
    </row>
    <row r="47" ht="31" customHeight="1">
      <c r="A47" s="11" t="inlineStr">
        <is>
          <t>Quest Main</t>
        </is>
      </c>
      <c r="B47" s="11" t="inlineStr">
        <is>
          <t>Q-05</t>
        </is>
      </c>
      <c r="C47" s="11" t="inlineStr">
        <is>
          <t>Bắt Hoang Cổ</t>
        </is>
      </c>
      <c r="D47" s="11" t="inlineStr">
        <is>
          <t>Capture 1 spawn; starter seal+NPC mua thêm</t>
        </is>
      </c>
      <c r="E47" s="11" t="inlineStr">
        <is>
          <t>Q-04 claimed</t>
        </is>
      </c>
      <c r="F47" s="11" t="inlineStr">
        <is>
          <t>700 XP; 100 currency; 2MAT-02</t>
        </is>
      </c>
    </row>
    <row r="48" ht="31" customHeight="1">
      <c r="A48" s="12" t="inlineStr">
        <is>
          <t>Quest Main</t>
        </is>
      </c>
      <c r="B48" s="12" t="inlineStr">
        <is>
          <t>Q-06</t>
        </is>
      </c>
      <c r="C48" s="12" t="inlineStr">
        <is>
          <t>Khai thác tài nguyên</t>
        </is>
      </c>
      <c r="D48" s="12" t="inlineStr">
        <is>
          <t>Kill 10 normal; collect5MAT-05</t>
        </is>
      </c>
      <c r="E48" s="12" t="inlineStr">
        <is>
          <t>Q-05 claimed</t>
        </is>
      </c>
      <c r="F48" s="12" t="inlineStr">
        <is>
          <t>800 XP; 150 currency; 2MAT-02</t>
        </is>
      </c>
    </row>
    <row r="49" ht="31" customHeight="1">
      <c r="A49" s="11" t="inlineStr">
        <is>
          <t>Quest Main</t>
        </is>
      </c>
      <c r="B49" s="11" t="inlineStr">
        <is>
          <t>Q-07</t>
        </is>
      </c>
      <c r="C49" s="11" t="inlineStr">
        <is>
          <t>Chuẩn bị đột phá</t>
        </is>
      </c>
      <c r="D49" s="11" t="inlineStr">
        <is>
          <t>Giao3MAT-01+3 MAT-03; previewrecipe; không bắt buộc craft II</t>
        </is>
      </c>
      <c r="E49" s="11" t="inlineStr">
        <is>
          <t>Q-06 claimed</t>
        </is>
      </c>
      <c r="F49" s="11" t="inlineStr">
        <is>
          <t>800 XP; 200 currency; 2MAT-02</t>
        </is>
      </c>
    </row>
    <row r="50" ht="31" customHeight="1">
      <c r="A50" s="12" t="inlineStr">
        <is>
          <t>Quest Main</t>
        </is>
      </c>
      <c r="B50" s="12" t="inlineStr">
        <is>
          <t>Q-08</t>
        </is>
      </c>
      <c r="C50" s="12" t="inlineStr">
        <is>
          <t>Thử thách Cổ Sư</t>
        </is>
      </c>
      <c r="D50" s="12" t="inlineStr">
        <is>
          <t>Kill1MOB-07, claim để đủ XP 4500/level 10</t>
        </is>
      </c>
      <c r="E50" s="12" t="inlineStr">
        <is>
          <t>Q-07 claimed</t>
        </is>
      </c>
      <c r="F50" s="12" t="inlineStr">
        <is>
          <t>800 XP; 250 currency; 4MAT-02; unlock rank-up</t>
        </is>
      </c>
    </row>
    <row r="51" ht="31" customHeight="1">
      <c r="A51" s="11" t="inlineStr">
        <is>
          <t>Quest Side</t>
        </is>
      </c>
      <c r="B51" s="11" t="inlineStr">
        <is>
          <t>Q-09</t>
        </is>
      </c>
      <c r="C51" s="11" t="inlineStr">
        <is>
          <t>Hợp luyện lần đầu</t>
        </is>
      </c>
      <c r="D51" s="11" t="inlineStr">
        <is>
          <t>Craft thành công 1 Cổ II</t>
        </is>
      </c>
      <c r="E51" s="11" t="inlineStr">
        <is>
          <t>RankII; Q-08 claimed</t>
        </is>
      </c>
      <c r="F51" s="11" t="inlineStr">
        <is>
          <t>300 XP; 150 currency; 2MAT-05</t>
        </is>
      </c>
    </row>
    <row r="52" ht="31" customHeight="1">
      <c r="A52" s="12" t="inlineStr">
        <is>
          <t>Quest Side</t>
        </is>
      </c>
      <c r="B52" s="12" t="inlineStr">
        <is>
          <t>Q-10</t>
        </is>
      </c>
      <c r="C52" s="12" t="inlineStr">
        <is>
          <t>Di tích cổ</t>
        </is>
      </c>
      <c r="D52" s="12" t="inlineStr">
        <is>
          <t>Finish1dungeonrun</t>
        </is>
      </c>
      <c r="E52" s="12" t="inlineStr">
        <is>
          <t>RankII; Q-08 claimed</t>
        </is>
      </c>
      <c r="F52" s="12" t="inlineStr">
        <is>
          <t>500 XP; 200 currency; 3MAT-02</t>
        </is>
      </c>
    </row>
  </sheetData>
  <autoFilter ref="A4:F52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S76"/>
  <sheetViews>
    <sheetView showGridLines="0" workbookViewId="0">
      <pane xSplit="4" ySplit="4" topLeftCell="E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56" customWidth="1" min="4" max="4"/>
    <col width="12" customWidth="1" min="5" max="5"/>
    <col width="12" customWidth="1" min="6" max="6"/>
    <col width="14" customWidth="1" min="7" max="7"/>
    <col width="14" customWidth="1" min="8" max="8"/>
    <col width="44" customWidth="1" min="9" max="9"/>
    <col width="15" customWidth="1" min="10" max="10"/>
    <col width="15" customWidth="1" min="11" max="11"/>
    <col width="15" customWidth="1" min="12" max="12"/>
    <col width="20" customWidth="1" min="13" max="13"/>
    <col width="18" customWidth="1" min="14" max="14"/>
    <col width="18" customWidth="1" min="15" max="15"/>
    <col width="21" customWidth="1" min="16" max="16"/>
    <col width="13" customWidth="1" min="17" max="17"/>
    <col width="85" customWidth="1" min="18" max="18"/>
    <col width="60" customWidth="1" min="19" max="19"/>
  </cols>
  <sheetData>
    <row r="1" ht="34" customHeight="1">
      <c r="A1" s="1" t="inlineStr">
        <is>
          <t>13 / Work Breakdown Structure — 72 work packages</t>
        </is>
      </c>
    </row>
    <row r="2" ht="31" customHeight="1">
      <c r="A2" s="2" t="inlineStr">
        <is>
          <t>Effort=person-day 8 giờ hữu ích; deadline khung 2 tuần; FS giữa sprint, phối hợp trong cùng sprint. Dự phòng đã có trong 36 tuần.</t>
        </is>
      </c>
    </row>
    <row r="4" ht="31" customHeight="1">
      <c r="A4" s="3" t="inlineStr">
        <is>
          <t>WBS code</t>
        </is>
      </c>
      <c r="B4" s="3" t="inlineStr">
        <is>
          <t>Task ID</t>
        </is>
      </c>
      <c r="C4" s="3" t="inlineStr">
        <is>
          <t>Deliverable group</t>
        </is>
      </c>
      <c r="D4" s="3" t="inlineStr">
        <is>
          <t>Work package</t>
        </is>
      </c>
      <c r="E4" s="3" t="inlineStr">
        <is>
          <t>Owner</t>
        </is>
      </c>
      <c r="F4" s="3" t="inlineStr">
        <is>
          <t>Sprint</t>
        </is>
      </c>
      <c r="G4" s="3" t="inlineStr">
        <is>
          <t>Start week</t>
        </is>
      </c>
      <c r="H4" s="3" t="inlineStr">
        <is>
          <t>End week</t>
        </is>
      </c>
      <c r="I4" s="3" t="inlineStr">
        <is>
          <t>Predecessors (FS)</t>
        </is>
      </c>
      <c r="J4" s="3" t="inlineStr">
        <is>
          <t>Base PD</t>
        </is>
      </c>
      <c r="K4" s="3" t="inlineStr">
        <is>
          <t>Reserve PD</t>
        </is>
      </c>
      <c r="L4" s="3" t="inlineStr">
        <is>
          <t>Total PD</t>
        </is>
      </c>
      <c r="M4" s="3" t="inlineStr">
        <is>
          <t>Hours incl reserve</t>
        </is>
      </c>
      <c r="N4" s="3" t="inlineStr">
        <is>
          <t>Start date</t>
        </is>
      </c>
      <c r="O4" s="3" t="inlineStr">
        <is>
          <t>End date</t>
        </is>
      </c>
      <c r="P4" s="3" t="inlineStr">
        <is>
          <t>Status</t>
        </is>
      </c>
      <c r="Q4" s="3" t="inlineStr">
        <is>
          <t>Done %</t>
        </is>
      </c>
      <c r="R4" s="3" t="inlineStr">
        <is>
          <t>Definition of Done</t>
        </is>
      </c>
      <c r="S4" s="3" t="inlineStr">
        <is>
          <t>Requirement IDs</t>
        </is>
      </c>
    </row>
    <row r="5" ht="31" customHeight="1">
      <c r="A5" s="11" t="inlineStr">
        <is>
          <t>1.1</t>
        </is>
      </c>
      <c r="B5" s="11" t="inlineStr">
        <is>
          <t>T01-GD</t>
        </is>
      </c>
      <c r="C5" s="11" t="inlineStr">
        <is>
          <t>Khóa phạm vi và spike</t>
        </is>
      </c>
      <c r="D5" s="11" t="inlineStr">
        <is>
          <t>Khóa MVP, FSD và danh sách quyết định</t>
        </is>
      </c>
      <c r="E5" s="11" t="inlineStr">
        <is>
          <t>GD</t>
        </is>
      </c>
      <c r="F5" s="11" t="n">
        <v>1</v>
      </c>
      <c r="G5" s="11" t="n">
        <v>1</v>
      </c>
      <c r="H5" s="11" t="n">
        <v>2</v>
      </c>
      <c r="I5" s="11" t="inlineStr"/>
      <c r="J5" s="13" t="n">
        <v>2.5</v>
      </c>
      <c r="K5" s="14">
        <f>J5*'00_START'!$B$10</f>
        <v>0.5</v>
      </c>
      <c r="L5" s="14">
        <f>J5+K5</f>
        <v>3.0</v>
      </c>
      <c r="M5" s="14">
        <f>L5*'00_START'!$B$12</f>
        <v>24.0</v>
      </c>
      <c r="N5" s="15">
        <f>WORKDAY('00_START'!$B$7-1,(G5-1)*5+1)</f>
        <v>46307.0</v>
      </c>
      <c r="O5" s="15">
        <f>WORKDAY('00_START'!$B$7-1,H5*5)</f>
        <v>46318.0</v>
      </c>
      <c r="P5" s="11" t="inlineStr">
        <is>
          <t>Đang làm</t>
        </is>
      </c>
      <c r="Q5" s="16" t="n">
        <v>0</v>
      </c>
      <c r="R5" s="11" t="inlineStr">
        <is>
          <t>Scope v0.2; FSD có ID, AC, danh sách TBD</t>
        </is>
      </c>
      <c r="S5" s="11" t="inlineStr"/>
    </row>
    <row r="6" ht="31" customHeight="1">
      <c r="A6" s="12" t="inlineStr">
        <is>
          <t>1.2</t>
        </is>
      </c>
      <c r="B6" s="12" t="inlineStr">
        <is>
          <t>T01-CL</t>
        </is>
      </c>
      <c r="C6" s="12" t="inlineStr">
        <is>
          <t>Khóa phạm vi và spike</t>
        </is>
      </c>
      <c r="D6" s="12" t="inlineStr">
        <is>
          <t>Spike Godot isometric trên PC; thử Web export</t>
        </is>
      </c>
      <c r="E6" s="12" t="inlineStr">
        <is>
          <t>CL</t>
        </is>
      </c>
      <c r="F6" s="12" t="n">
        <v>1</v>
      </c>
      <c r="G6" s="12" t="n">
        <v>1</v>
      </c>
      <c r="H6" s="12" t="n">
        <v>2</v>
      </c>
      <c r="I6" s="12" t="inlineStr"/>
      <c r="J6" s="17" t="n">
        <v>3</v>
      </c>
      <c r="K6" s="18">
        <f>J6*'00_START'!$B$10</f>
        <v>0.6000000000000001</v>
      </c>
      <c r="L6" s="18">
        <f>J6+K6</f>
        <v>3.5999999999999996</v>
      </c>
      <c r="M6" s="18">
        <f>L6*'00_START'!$B$12</f>
        <v>28.799999999999997</v>
      </c>
      <c r="N6" s="19">
        <f>WORKDAY('00_START'!$B$7-1,(G6-1)*5+1)</f>
        <v>46307.0</v>
      </c>
      <c r="O6" s="19">
        <f>WORKDAY('00_START'!$B$7-1,H6*5)</f>
        <v>46318.0</v>
      </c>
      <c r="P6" s="12" t="inlineStr">
        <is>
          <t>Đang làm</t>
        </is>
      </c>
      <c r="Q6" s="20" t="n">
        <v>0</v>
      </c>
      <c r="R6" s="12" t="inlineStr">
        <is>
          <t>Map mẫu, click-to-move, đo render trên máy tham chiếu</t>
        </is>
      </c>
      <c r="S6" s="12" t="inlineStr"/>
    </row>
    <row r="7" ht="31" customHeight="1">
      <c r="A7" s="11" t="inlineStr">
        <is>
          <t>1.3</t>
        </is>
      </c>
      <c r="B7" s="11" t="inlineStr">
        <is>
          <t>T01-SV</t>
        </is>
      </c>
      <c r="C7" s="11" t="inlineStr">
        <is>
          <t>Khóa phạm vi và spike</t>
        </is>
      </c>
      <c r="D7" s="11" t="inlineStr">
        <is>
          <t>Spike authoritative room và lưu dữ liệu</t>
        </is>
      </c>
      <c r="E7" s="11" t="inlineStr">
        <is>
          <t>SV</t>
        </is>
      </c>
      <c r="F7" s="11" t="n">
        <v>1</v>
      </c>
      <c r="G7" s="11" t="n">
        <v>1</v>
      </c>
      <c r="H7" s="11" t="n">
        <v>2</v>
      </c>
      <c r="I7" s="11" t="inlineStr"/>
      <c r="J7" s="13" t="n">
        <v>3</v>
      </c>
      <c r="K7" s="14">
        <f>J7*'00_START'!$B$10</f>
        <v>0.6000000000000001</v>
      </c>
      <c r="L7" s="14">
        <f>J7+K7</f>
        <v>3.5999999999999996</v>
      </c>
      <c r="M7" s="14">
        <f>L7*'00_START'!$B$12</f>
        <v>28.799999999999997</v>
      </c>
      <c r="N7" s="15">
        <f>WORKDAY('00_START'!$B$7-1,(G7-1)*5+1)</f>
        <v>46307.0</v>
      </c>
      <c r="O7" s="15">
        <f>WORKDAY('00_START'!$B$7-1,H7*5)</f>
        <v>46318.0</v>
      </c>
      <c r="P7" s="11" t="inlineStr">
        <is>
          <t>Chưa bắt đầu</t>
        </is>
      </c>
      <c r="Q7" s="16" t="n">
        <v>0</v>
      </c>
      <c r="R7" s="11" t="inlineStr">
        <is>
          <t>Hai client kết nối; server giữ state; thử ghi transaction</t>
        </is>
      </c>
      <c r="S7" s="11" t="inlineStr"/>
    </row>
    <row r="8" ht="31" customHeight="1">
      <c r="A8" s="12" t="inlineStr">
        <is>
          <t>1.4</t>
        </is>
      </c>
      <c r="B8" s="12" t="inlineStr">
        <is>
          <t>T01-AR</t>
        </is>
      </c>
      <c r="C8" s="12" t="inlineStr">
        <is>
          <t>Khóa phạm vi và spike</t>
        </is>
      </c>
      <c r="D8" s="12" t="inlineStr">
        <is>
          <t>Art direction và kiểm kê tài nguyên</t>
        </is>
      </c>
      <c r="E8" s="12" t="inlineStr">
        <is>
          <t>AR</t>
        </is>
      </c>
      <c r="F8" s="12" t="n">
        <v>1</v>
      </c>
      <c r="G8" s="12" t="n">
        <v>1</v>
      </c>
      <c r="H8" s="12" t="n">
        <v>2</v>
      </c>
      <c r="I8" s="12" t="inlineStr"/>
      <c r="J8" s="17" t="n">
        <v>2.5</v>
      </c>
      <c r="K8" s="18">
        <f>J8*'00_START'!$B$10</f>
        <v>0.5</v>
      </c>
      <c r="L8" s="18">
        <f>J8+K8</f>
        <v>3.0</v>
      </c>
      <c r="M8" s="18">
        <f>L8*'00_START'!$B$12</f>
        <v>24.0</v>
      </c>
      <c r="N8" s="19">
        <f>WORKDAY('00_START'!$B$7-1,(G8-1)*5+1)</f>
        <v>46307.0</v>
      </c>
      <c r="O8" s="19">
        <f>WORKDAY('00_START'!$B$7-1,H8*5)</f>
        <v>46318.0</v>
      </c>
      <c r="P8" s="12" t="inlineStr">
        <is>
          <t>Đang làm</t>
        </is>
      </c>
      <c r="Q8" s="20" t="n">
        <v>0</v>
      </c>
      <c r="R8" s="12" t="inlineStr">
        <is>
          <t>Moodboard nội bộ, style guide, danh mục asset và nguồn</t>
        </is>
      </c>
      <c r="S8" s="12" t="inlineStr"/>
    </row>
    <row r="9" ht="31" customHeight="1">
      <c r="A9" s="11" t="inlineStr">
        <is>
          <t>2.1</t>
        </is>
      </c>
      <c r="B9" s="11" t="inlineStr">
        <is>
          <t>T02-GD</t>
        </is>
      </c>
      <c r="C9" s="11" t="inlineStr">
        <is>
          <t>Nền tảng kỹ thuật</t>
        </is>
      </c>
      <c r="D9" s="11" t="inlineStr">
        <is>
          <t>Chốt luật chiến đấu và mô hình dữ liệu</t>
        </is>
      </c>
      <c r="E9" s="11" t="inlineStr">
        <is>
          <t>GD</t>
        </is>
      </c>
      <c r="F9" s="11" t="n">
        <v>2</v>
      </c>
      <c r="G9" s="11" t="n">
        <v>3</v>
      </c>
      <c r="H9" s="11" t="n">
        <v>4</v>
      </c>
      <c r="I9" s="11" t="inlineStr">
        <is>
          <t>T01-GD, T01-CL, T01-SV</t>
        </is>
      </c>
      <c r="J9" s="13" t="n">
        <v>2.5</v>
      </c>
      <c r="K9" s="14">
        <f>J9*'00_START'!$B$10</f>
        <v>0.5</v>
      </c>
      <c r="L9" s="14">
        <f>J9+K9</f>
        <v>3.0</v>
      </c>
      <c r="M9" s="14">
        <f>L9*'00_START'!$B$12</f>
        <v>24.0</v>
      </c>
      <c r="N9" s="15">
        <f>WORKDAY('00_START'!$B$7-1,(G9-1)*5+1)</f>
        <v>46321.0</v>
      </c>
      <c r="O9" s="15">
        <f>WORKDAY('00_START'!$B$7-1,H9*5)</f>
        <v>46332.0</v>
      </c>
      <c r="P9" s="11" t="inlineStr">
        <is>
          <t>Chưa bắt đầu</t>
        </is>
      </c>
      <c r="Q9" s="16" t="n">
        <v>0</v>
      </c>
      <c r="R9" s="11" t="inlineStr">
        <is>
          <t>Rulebook, 5 Cổ đầu, flow lỗi và test matrix</t>
        </is>
      </c>
      <c r="S9" s="11" t="inlineStr"/>
    </row>
    <row r="10" ht="31" customHeight="1">
      <c r="A10" s="12" t="inlineStr">
        <is>
          <t>2.2</t>
        </is>
      </c>
      <c r="B10" s="12" t="inlineStr">
        <is>
          <t>T02-CL</t>
        </is>
      </c>
      <c r="C10" s="12" t="inlineStr">
        <is>
          <t>Nền tảng kỹ thuật</t>
        </is>
      </c>
      <c r="D10" s="12" t="inlineStr">
        <is>
          <t>Client shell, scene và tọa độ</t>
        </is>
      </c>
      <c r="E10" s="12" t="inlineStr">
        <is>
          <t>CL</t>
        </is>
      </c>
      <c r="F10" s="12" t="n">
        <v>2</v>
      </c>
      <c r="G10" s="12" t="n">
        <v>3</v>
      </c>
      <c r="H10" s="12" t="n">
        <v>4</v>
      </c>
      <c r="I10" s="12" t="inlineStr">
        <is>
          <t>T01-CL</t>
        </is>
      </c>
      <c r="J10" s="17" t="n">
        <v>3</v>
      </c>
      <c r="K10" s="18">
        <f>J10*'00_START'!$B$10</f>
        <v>0.6000000000000001</v>
      </c>
      <c r="L10" s="18">
        <f>J10+K10</f>
        <v>3.5999999999999996</v>
      </c>
      <c r="M10" s="18">
        <f>L10*'00_START'!$B$12</f>
        <v>28.799999999999997</v>
      </c>
      <c r="N10" s="19">
        <f>WORKDAY('00_START'!$B$7-1,(G10-1)*5+1)</f>
        <v>46321.0</v>
      </c>
      <c r="O10" s="19">
        <f>WORKDAY('00_START'!$B$7-1,H10*5)</f>
        <v>46332.0</v>
      </c>
      <c r="P10" s="12" t="inlineStr">
        <is>
          <t>Chưa bắt đầu</t>
        </is>
      </c>
      <c r="Q10" s="20" t="n">
        <v>0</v>
      </c>
      <c r="R10" s="12" t="inlineStr">
        <is>
          <t>Boot/Login/World/HUD; world↔iso; loader và input</t>
        </is>
      </c>
      <c r="S10" s="12" t="inlineStr">
        <is>
          <t>CL-001, CL-002, CL-004</t>
        </is>
      </c>
    </row>
    <row r="11" ht="31" customHeight="1">
      <c r="A11" s="11" t="inlineStr">
        <is>
          <t>2.3</t>
        </is>
      </c>
      <c r="B11" s="11" t="inlineStr">
        <is>
          <t>T02-SV</t>
        </is>
      </c>
      <c r="C11" s="11" t="inlineStr">
        <is>
          <t>Nền tảng kỹ thuật</t>
        </is>
      </c>
      <c r="D11" s="11" t="inlineStr">
        <is>
          <t>Repo, CI, schema và đăng nhập</t>
        </is>
      </c>
      <c r="E11" s="11" t="inlineStr">
        <is>
          <t>SV</t>
        </is>
      </c>
      <c r="F11" s="11" t="n">
        <v>2</v>
      </c>
      <c r="G11" s="11" t="n">
        <v>3</v>
      </c>
      <c r="H11" s="11" t="n">
        <v>4</v>
      </c>
      <c r="I11" s="11" t="inlineStr">
        <is>
          <t>T01-SV</t>
        </is>
      </c>
      <c r="J11" s="13" t="n">
        <v>3</v>
      </c>
      <c r="K11" s="14">
        <f>J11*'00_START'!$B$10</f>
        <v>0.6000000000000001</v>
      </c>
      <c r="L11" s="14">
        <f>J11+K11</f>
        <v>3.5999999999999996</v>
      </c>
      <c r="M11" s="14">
        <f>L11*'00_START'!$B$12</f>
        <v>28.799999999999997</v>
      </c>
      <c r="N11" s="15">
        <f>WORKDAY('00_START'!$B$7-1,(G11-1)*5+1)</f>
        <v>46321.0</v>
      </c>
      <c r="O11" s="15">
        <f>WORKDAY('00_START'!$B$7-1,H11*5)</f>
        <v>46332.0</v>
      </c>
      <c r="P11" s="11" t="inlineStr">
        <is>
          <t>Chưa bắt đầu</t>
        </is>
      </c>
      <c r="Q11" s="16" t="n">
        <v>0</v>
      </c>
      <c r="R11" s="11" t="inlineStr">
        <is>
          <t>CI build; migration; tài khoản mời; session một nhân vật</t>
        </is>
      </c>
      <c r="S11" s="11" t="inlineStr">
        <is>
          <t>CL-001, CL-002, SV-001</t>
        </is>
      </c>
    </row>
    <row r="12" ht="31" customHeight="1">
      <c r="A12" s="12" t="inlineStr">
        <is>
          <t>2.4</t>
        </is>
      </c>
      <c r="B12" s="12" t="inlineStr">
        <is>
          <t>T02-AR</t>
        </is>
      </c>
      <c r="C12" s="12" t="inlineStr">
        <is>
          <t>Nền tảng kỹ thuật</t>
        </is>
      </c>
      <c r="D12" s="12" t="inlineStr">
        <is>
          <t>Nhân vật và tileset cơ sở</t>
        </is>
      </c>
      <c r="E12" s="12" t="inlineStr">
        <is>
          <t>AR</t>
        </is>
      </c>
      <c r="F12" s="12" t="n">
        <v>2</v>
      </c>
      <c r="G12" s="12" t="n">
        <v>3</v>
      </c>
      <c r="H12" s="12" t="n">
        <v>4</v>
      </c>
      <c r="I12" s="12" t="inlineStr">
        <is>
          <t>T01-AR</t>
        </is>
      </c>
      <c r="J12" s="17" t="n">
        <v>2.5</v>
      </c>
      <c r="K12" s="18">
        <f>J12*'00_START'!$B$10</f>
        <v>0.5</v>
      </c>
      <c r="L12" s="18">
        <f>J12+K12</f>
        <v>3.0</v>
      </c>
      <c r="M12" s="18">
        <f>L12*'00_START'!$B$12</f>
        <v>24.0</v>
      </c>
      <c r="N12" s="19">
        <f>WORKDAY('00_START'!$B$7-1,(G12-1)*5+1)</f>
        <v>46321.0</v>
      </c>
      <c r="O12" s="19">
        <f>WORKDAY('00_START'!$B$7-1,H12*5)</f>
        <v>46332.0</v>
      </c>
      <c r="P12" s="12" t="inlineStr">
        <is>
          <t>Chưa bắt đầu</t>
        </is>
      </c>
      <c r="Q12" s="20" t="n">
        <v>0</v>
      </c>
      <c r="R12" s="12" t="inlineStr">
        <is>
          <t>Một avatar, 4 hướng hiển thị, idle/walk/attack; tileset dùng lại</t>
        </is>
      </c>
      <c r="S12" s="12" t="inlineStr"/>
    </row>
    <row r="13" ht="31" customHeight="1">
      <c r="A13" s="11" t="inlineStr">
        <is>
          <t>2.5</t>
        </is>
      </c>
      <c r="B13" s="11" t="inlineStr">
        <is>
          <t>T03-GD</t>
        </is>
      </c>
      <c r="C13" s="11" t="inlineStr">
        <is>
          <t>Nền tảng kỹ thuật</t>
        </is>
      </c>
      <c r="D13" s="11" t="inlineStr">
        <is>
          <t>Kiểm thử điều khiển và onboarding</t>
        </is>
      </c>
      <c r="E13" s="11" t="inlineStr">
        <is>
          <t>GD</t>
        </is>
      </c>
      <c r="F13" s="11" t="n">
        <v>3</v>
      </c>
      <c r="G13" s="11" t="n">
        <v>5</v>
      </c>
      <c r="H13" s="11" t="n">
        <v>6</v>
      </c>
      <c r="I13" s="11" t="inlineStr">
        <is>
          <t>T02-GD, T02-CL</t>
        </is>
      </c>
      <c r="J13" s="13" t="n">
        <v>2</v>
      </c>
      <c r="K13" s="14">
        <f>J13*'00_START'!$B$10</f>
        <v>0.4</v>
      </c>
      <c r="L13" s="14">
        <f>J13+K13</f>
        <v>2.4</v>
      </c>
      <c r="M13" s="14">
        <f>L13*'00_START'!$B$12</f>
        <v>19.2</v>
      </c>
      <c r="N13" s="15">
        <f>WORKDAY('00_START'!$B$7-1,(G13-1)*5+1)</f>
        <v>46335.0</v>
      </c>
      <c r="O13" s="15">
        <f>WORKDAY('00_START'!$B$7-1,H13*5)</f>
        <v>46346.0</v>
      </c>
      <c r="P13" s="11" t="inlineStr">
        <is>
          <t>Chưa bắt đầu</t>
        </is>
      </c>
      <c r="Q13" s="16" t="n">
        <v>0</v>
      </c>
      <c r="R13" s="11" t="inlineStr">
        <is>
          <t>Check list click, focus chat, resize; kịch bản 30 giây đầu</t>
        </is>
      </c>
      <c r="S13" s="11" t="inlineStr">
        <is>
          <t>CL-029</t>
        </is>
      </c>
    </row>
    <row r="14" ht="31" customHeight="1">
      <c r="A14" s="12" t="inlineStr">
        <is>
          <t>2.6</t>
        </is>
      </c>
      <c r="B14" s="12" t="inlineStr">
        <is>
          <t>T03-CL</t>
        </is>
      </c>
      <c r="C14" s="12" t="inlineStr">
        <is>
          <t>Nền tảng kỹ thuật</t>
        </is>
      </c>
      <c r="D14" s="12" t="inlineStr">
        <is>
          <t>Di chuyển, camera, va chạm và chọn mục tiêu</t>
        </is>
      </c>
      <c r="E14" s="12" t="inlineStr">
        <is>
          <t>CL</t>
        </is>
      </c>
      <c r="F14" s="12" t="n">
        <v>3</v>
      </c>
      <c r="G14" s="12" t="n">
        <v>5</v>
      </c>
      <c r="H14" s="12" t="n">
        <v>6</v>
      </c>
      <c r="I14" s="12" t="inlineStr">
        <is>
          <t>T02-CL, T02-AR</t>
        </is>
      </c>
      <c r="J14" s="17" t="n">
        <v>3</v>
      </c>
      <c r="K14" s="18">
        <f>J14*'00_START'!$B$10</f>
        <v>0.6000000000000001</v>
      </c>
      <c r="L14" s="18">
        <f>J14+K14</f>
        <v>3.5999999999999996</v>
      </c>
      <c r="M14" s="18">
        <f>L14*'00_START'!$B$12</f>
        <v>28.799999999999997</v>
      </c>
      <c r="N14" s="19">
        <f>WORKDAY('00_START'!$B$7-1,(G14-1)*5+1)</f>
        <v>46335.0</v>
      </c>
      <c r="O14" s="19">
        <f>WORKDAY('00_START'!$B$7-1,H14*5)</f>
        <v>46346.0</v>
      </c>
      <c r="P14" s="12" t="inlineStr">
        <is>
          <t>Chưa bắt đầu</t>
        </is>
      </c>
      <c r="Q14" s="20" t="n">
        <v>0</v>
      </c>
      <c r="R14" s="12" t="inlineStr">
        <is>
          <t>A*, camera bám, click marker, target vòng chọn</t>
        </is>
      </c>
      <c r="S14" s="12" t="inlineStr">
        <is>
          <t>CL-003, CL-004, CL-005</t>
        </is>
      </c>
    </row>
    <row r="15" ht="31" customHeight="1">
      <c r="A15" s="11" t="inlineStr">
        <is>
          <t>2.7</t>
        </is>
      </c>
      <c r="B15" s="11" t="inlineStr">
        <is>
          <t>T03-SV</t>
        </is>
      </c>
      <c r="C15" s="11" t="inlineStr">
        <is>
          <t>Nền tảng kỹ thuật</t>
        </is>
      </c>
      <c r="D15" s="11" t="inlineStr">
        <is>
          <t>Room, quyền vào map và session lease</t>
        </is>
      </c>
      <c r="E15" s="11" t="inlineStr">
        <is>
          <t>SV</t>
        </is>
      </c>
      <c r="F15" s="11" t="n">
        <v>3</v>
      </c>
      <c r="G15" s="11" t="n">
        <v>5</v>
      </c>
      <c r="H15" s="11" t="n">
        <v>6</v>
      </c>
      <c r="I15" s="11" t="inlineStr">
        <is>
          <t>T02-SV</t>
        </is>
      </c>
      <c r="J15" s="13" t="n">
        <v>3</v>
      </c>
      <c r="K15" s="14">
        <f>J15*'00_START'!$B$10</f>
        <v>0.6000000000000001</v>
      </c>
      <c r="L15" s="14">
        <f>J15+K15</f>
        <v>3.5999999999999996</v>
      </c>
      <c r="M15" s="14">
        <f>L15*'00_START'!$B$12</f>
        <v>28.799999999999997</v>
      </c>
      <c r="N15" s="15">
        <f>WORKDAY('00_START'!$B$7-1,(G15-1)*5+1)</f>
        <v>46335.0</v>
      </c>
      <c r="O15" s="15">
        <f>WORKDAY('00_START'!$B$7-1,H15*5)</f>
        <v>46346.0</v>
      </c>
      <c r="P15" s="11" t="inlineStr">
        <is>
          <t>Chưa bắt đầu</t>
        </is>
      </c>
      <c r="Q15" s="16" t="n">
        <v>0</v>
      </c>
      <c r="R15" s="11" t="inlineStr">
        <is>
          <t>Join/leave có auth; single writer; giới hạn map</t>
        </is>
      </c>
      <c r="S15" s="11" t="inlineStr">
        <is>
          <t>SV-001, SV-004, SV-018</t>
        </is>
      </c>
    </row>
    <row r="16" ht="31" customHeight="1">
      <c r="A16" s="12" t="inlineStr">
        <is>
          <t>2.8</t>
        </is>
      </c>
      <c r="B16" s="12" t="inlineStr">
        <is>
          <t>T03-AR</t>
        </is>
      </c>
      <c r="C16" s="12" t="inlineStr">
        <is>
          <t>Nền tảng kỹ thuật</t>
        </is>
      </c>
      <c r="D16" s="12" t="inlineStr">
        <is>
          <t>Bản đồ thị trấn và bố cục HUD</t>
        </is>
      </c>
      <c r="E16" s="12" t="inlineStr">
        <is>
          <t>AR</t>
        </is>
      </c>
      <c r="F16" s="12" t="n">
        <v>3</v>
      </c>
      <c r="G16" s="12" t="n">
        <v>5</v>
      </c>
      <c r="H16" s="12" t="n">
        <v>6</v>
      </c>
      <c r="I16" s="12" t="inlineStr">
        <is>
          <t>T02-AR</t>
        </is>
      </c>
      <c r="J16" s="17" t="n">
        <v>2.5</v>
      </c>
      <c r="K16" s="18">
        <f>J16*'00_START'!$B$10</f>
        <v>0.5</v>
      </c>
      <c r="L16" s="18">
        <f>J16+K16</f>
        <v>3.0</v>
      </c>
      <c r="M16" s="18">
        <f>L16*'00_START'!$B$12</f>
        <v>24.0</v>
      </c>
      <c r="N16" s="19">
        <f>WORKDAY('00_START'!$B$7-1,(G16-1)*5+1)</f>
        <v>46335.0</v>
      </c>
      <c r="O16" s="19">
        <f>WORKDAY('00_START'!$B$7-1,H16*5)</f>
        <v>46346.0</v>
      </c>
      <c r="P16" s="12" t="inlineStr">
        <is>
          <t>Chưa bắt đầu</t>
        </is>
      </c>
      <c r="Q16" s="20" t="n">
        <v>0</v>
      </c>
      <c r="R16" s="12" t="inlineStr">
        <is>
          <t>MAP-01; spawn/NPC/portal; HUD wireframe và icon nền</t>
        </is>
      </c>
      <c r="S16" s="12" t="inlineStr">
        <is>
          <t>CL-004</t>
        </is>
      </c>
    </row>
    <row r="17" ht="31" customHeight="1">
      <c r="A17" s="11" t="inlineStr">
        <is>
          <t>2.9</t>
        </is>
      </c>
      <c r="B17" s="11" t="inlineStr">
        <is>
          <t>T04-GD</t>
        </is>
      </c>
      <c r="C17" s="11" t="inlineStr">
        <is>
          <t>Nền tảng kỹ thuật</t>
        </is>
      </c>
      <c r="D17" s="11" t="inlineStr">
        <is>
          <t>Gate G1 — thử hai client và lỗi mạng</t>
        </is>
      </c>
      <c r="E17" s="11" t="inlineStr">
        <is>
          <t>GD</t>
        </is>
      </c>
      <c r="F17" s="11" t="n">
        <v>4</v>
      </c>
      <c r="G17" s="11" t="n">
        <v>7</v>
      </c>
      <c r="H17" s="11" t="n">
        <v>8</v>
      </c>
      <c r="I17" s="11" t="inlineStr">
        <is>
          <t>T03-GD, T03-CL, T03-SV</t>
        </is>
      </c>
      <c r="J17" s="13" t="n">
        <v>2.5</v>
      </c>
      <c r="K17" s="14">
        <f>J17*'00_START'!$B$10</f>
        <v>0.5</v>
      </c>
      <c r="L17" s="14">
        <f>J17+K17</f>
        <v>3.0</v>
      </c>
      <c r="M17" s="14">
        <f>L17*'00_START'!$B$12</f>
        <v>24.0</v>
      </c>
      <c r="N17" s="15">
        <f>WORKDAY('00_START'!$B$7-1,(G17-1)*5+1)</f>
        <v>46349.0</v>
      </c>
      <c r="O17" s="15">
        <f>WORKDAY('00_START'!$B$7-1,H17*5)</f>
        <v>46360.0</v>
      </c>
      <c r="P17" s="11" t="inlineStr">
        <is>
          <t>Chưa bắt đầu</t>
        </is>
      </c>
      <c r="Q17" s="16" t="n">
        <v>0</v>
      </c>
      <c r="R17" s="11" t="inlineStr">
        <is>
          <t>Biên bản kiểm thử auth, chuyển map và mất kết nối</t>
        </is>
      </c>
      <c r="S17" s="11" t="inlineStr"/>
    </row>
    <row r="18" ht="31" customHeight="1">
      <c r="A18" s="12" t="inlineStr">
        <is>
          <t>2.10</t>
        </is>
      </c>
      <c r="B18" s="12" t="inlineStr">
        <is>
          <t>T04-CL</t>
        </is>
      </c>
      <c r="C18" s="12" t="inlineStr">
        <is>
          <t>Nền tảng kỹ thuật</t>
        </is>
      </c>
      <c r="D18" s="12" t="inlineStr">
        <is>
          <t>Tích hợp đồng bộ và nội suy</t>
        </is>
      </c>
      <c r="E18" s="12" t="inlineStr">
        <is>
          <t>CL</t>
        </is>
      </c>
      <c r="F18" s="12" t="n">
        <v>4</v>
      </c>
      <c r="G18" s="12" t="n">
        <v>7</v>
      </c>
      <c r="H18" s="12" t="n">
        <v>8</v>
      </c>
      <c r="I18" s="12" t="inlineStr">
        <is>
          <t>T03-CL, T03-SV</t>
        </is>
      </c>
      <c r="J18" s="17" t="n">
        <v>3</v>
      </c>
      <c r="K18" s="18">
        <f>J18*'00_START'!$B$10</f>
        <v>0.6000000000000001</v>
      </c>
      <c r="L18" s="18">
        <f>J18+K18</f>
        <v>3.5999999999999996</v>
      </c>
      <c r="M18" s="18">
        <f>L18*'00_START'!$B$12</f>
        <v>28.799999999999997</v>
      </c>
      <c r="N18" s="19">
        <f>WORKDAY('00_START'!$B$7-1,(G18-1)*5+1)</f>
        <v>46349.0</v>
      </c>
      <c r="O18" s="19">
        <f>WORKDAY('00_START'!$B$7-1,H18*5)</f>
        <v>46360.0</v>
      </c>
      <c r="P18" s="12" t="inlineStr">
        <is>
          <t>Chưa bắt đầu</t>
        </is>
      </c>
      <c r="Q18" s="20" t="n">
        <v>0</v>
      </c>
      <c r="R18" s="12" t="inlineStr">
        <is>
          <t>Remote players; correction; HUD mạng; không ghost entity</t>
        </is>
      </c>
      <c r="S18" s="12" t="inlineStr">
        <is>
          <t>CL-006, CL-009</t>
        </is>
      </c>
    </row>
    <row r="19" ht="31" customHeight="1">
      <c r="A19" s="11" t="inlineStr">
        <is>
          <t>2.11</t>
        </is>
      </c>
      <c r="B19" s="11" t="inlineStr">
        <is>
          <t>T04-SV</t>
        </is>
      </c>
      <c r="C19" s="11" t="inlineStr">
        <is>
          <t>Nền tảng kỹ thuật</t>
        </is>
      </c>
      <c r="D19" s="11" t="inlineStr">
        <is>
          <t>Di chuyển authoritative và AOI</t>
        </is>
      </c>
      <c r="E19" s="11" t="inlineStr">
        <is>
          <t>SV</t>
        </is>
      </c>
      <c r="F19" s="11" t="n">
        <v>4</v>
      </c>
      <c r="G19" s="11" t="n">
        <v>7</v>
      </c>
      <c r="H19" s="11" t="n">
        <v>8</v>
      </c>
      <c r="I19" s="11" t="inlineStr">
        <is>
          <t>T03-SV, T03-CL</t>
        </is>
      </c>
      <c r="J19" s="13" t="n">
        <v>3</v>
      </c>
      <c r="K19" s="14">
        <f>J19*'00_START'!$B$10</f>
        <v>0.6000000000000001</v>
      </c>
      <c r="L19" s="14">
        <f>J19+K19</f>
        <v>3.5999999999999996</v>
      </c>
      <c r="M19" s="14">
        <f>L19*'00_START'!$B$12</f>
        <v>28.799999999999997</v>
      </c>
      <c r="N19" s="15">
        <f>WORKDAY('00_START'!$B$7-1,(G19-1)*5+1)</f>
        <v>46349.0</v>
      </c>
      <c r="O19" s="15">
        <f>WORKDAY('00_START'!$B$7-1,H19*5)</f>
        <v>46360.0</v>
      </c>
      <c r="P19" s="11" t="inlineStr">
        <is>
          <t>Chưa bắt đầu</t>
        </is>
      </c>
      <c r="Q19" s="16" t="n">
        <v>0</v>
      </c>
      <c r="R19" s="11" t="inlineStr">
        <is>
          <t>Validate đường đi/tốc độ; state lọc theo vùng; chống warp</t>
        </is>
      </c>
      <c r="S19" s="11" t="inlineStr">
        <is>
          <t>CL-003, SV-002, SV-003</t>
        </is>
      </c>
    </row>
    <row r="20" ht="31" customHeight="1">
      <c r="A20" s="12" t="inlineStr">
        <is>
          <t>2.12</t>
        </is>
      </c>
      <c r="B20" s="12" t="inlineStr">
        <is>
          <t>T04-AR</t>
        </is>
      </c>
      <c r="C20" s="12" t="inlineStr">
        <is>
          <t>Nền tảng kỹ thuật</t>
        </is>
      </c>
      <c r="D20" s="12" t="inlineStr">
        <is>
          <t>Hoàn thiện HUD nền và feed back di chuyển</t>
        </is>
      </c>
      <c r="E20" s="12" t="inlineStr">
        <is>
          <t>AR</t>
        </is>
      </c>
      <c r="F20" s="12" t="n">
        <v>4</v>
      </c>
      <c r="G20" s="12" t="n">
        <v>7</v>
      </c>
      <c r="H20" s="12" t="n">
        <v>8</v>
      </c>
      <c r="I20" s="12" t="inlineStr">
        <is>
          <t>T03-AR</t>
        </is>
      </c>
      <c r="J20" s="17" t="n">
        <v>2.5</v>
      </c>
      <c r="K20" s="18">
        <f>J20*'00_START'!$B$10</f>
        <v>0.5</v>
      </c>
      <c r="L20" s="18">
        <f>J20+K20</f>
        <v>3.0</v>
      </c>
      <c r="M20" s="18">
        <f>L20*'00_START'!$B$12</f>
        <v>24.0</v>
      </c>
      <c r="N20" s="19">
        <f>WORKDAY('00_START'!$B$7-1,(G20-1)*5+1)</f>
        <v>46349.0</v>
      </c>
      <c r="O20" s="19">
        <f>WORKDAY('00_START'!$B$7-1,H20*5)</f>
        <v>46360.0</v>
      </c>
      <c r="P20" s="12" t="inlineStr">
        <is>
          <t>Chưa bắt đầu</t>
        </is>
      </c>
      <c r="Q20" s="20" t="n">
        <v>0</v>
      </c>
      <c r="R20" s="12" t="inlineStr">
        <is>
          <t>HP/mana/target/minimap; click/denied feed back</t>
        </is>
      </c>
      <c r="S20" s="12" t="inlineStr"/>
    </row>
    <row r="21" ht="31" customHeight="1">
      <c r="A21" s="11" t="inlineStr">
        <is>
          <t>3.1</t>
        </is>
      </c>
      <c r="B21" s="11" t="inlineStr">
        <is>
          <t>T05-GD</t>
        </is>
      </c>
      <c r="C21" s="11" t="inlineStr">
        <is>
          <t>PvE first playable</t>
        </is>
      </c>
      <c r="D21" s="11" t="inlineStr">
        <is>
          <t>Cân bằng 5 Cổ và combat test cases</t>
        </is>
      </c>
      <c r="E21" s="11" t="inlineStr">
        <is>
          <t>GD</t>
        </is>
      </c>
      <c r="F21" s="11" t="n">
        <v>5</v>
      </c>
      <c r="G21" s="11" t="n">
        <v>9</v>
      </c>
      <c r="H21" s="11" t="n">
        <v>10</v>
      </c>
      <c r="I21" s="11" t="inlineStr">
        <is>
          <t>T04-GD, T02-GD</t>
        </is>
      </c>
      <c r="J21" s="13" t="n">
        <v>2.5</v>
      </c>
      <c r="K21" s="14">
        <f>J21*'00_START'!$B$10</f>
        <v>0.5</v>
      </c>
      <c r="L21" s="14">
        <f>J21+K21</f>
        <v>3.0</v>
      </c>
      <c r="M21" s="14">
        <f>L21*'00_START'!$B$12</f>
        <v>24.0</v>
      </c>
      <c r="N21" s="15">
        <f>WORKDAY('00_START'!$B$7-1,(G21-1)*5+1)</f>
        <v>46363.0</v>
      </c>
      <c r="O21" s="15">
        <f>WORKDAY('00_START'!$B$7-1,H21*5)</f>
        <v>46374.0</v>
      </c>
      <c r="P21" s="11" t="inlineStr">
        <is>
          <t>Chưa bắt đầu</t>
        </is>
      </c>
      <c r="Q21" s="16" t="n">
        <v>0</v>
      </c>
      <c r="R21" s="11" t="inlineStr">
        <is>
          <t>Thông số sát thương, mana, CC, cooldown có đơn vị</t>
        </is>
      </c>
      <c r="S21" s="11" t="inlineStr"/>
    </row>
    <row r="22" ht="31" customHeight="1">
      <c r="A22" s="12" t="inlineStr">
        <is>
          <t>3.2</t>
        </is>
      </c>
      <c r="B22" s="12" t="inlineStr">
        <is>
          <t>T05-CL</t>
        </is>
      </c>
      <c r="C22" s="12" t="inlineStr">
        <is>
          <t>PvE first playable</t>
        </is>
      </c>
      <c r="D22" s="12" t="inlineStr">
        <is>
          <t>Combat UI và 5 kỹ năng đầu</t>
        </is>
      </c>
      <c r="E22" s="12" t="inlineStr">
        <is>
          <t>CL</t>
        </is>
      </c>
      <c r="F22" s="12" t="n">
        <v>5</v>
      </c>
      <c r="G22" s="12" t="n">
        <v>9</v>
      </c>
      <c r="H22" s="12" t="n">
        <v>10</v>
      </c>
      <c r="I22" s="12" t="inlineStr">
        <is>
          <t>T04-CL, T04-AR</t>
        </is>
      </c>
      <c r="J22" s="17" t="n">
        <v>3</v>
      </c>
      <c r="K22" s="18">
        <f>J22*'00_START'!$B$10</f>
        <v>0.6000000000000001</v>
      </c>
      <c r="L22" s="18">
        <f>J22+K22</f>
        <v>3.5999999999999996</v>
      </c>
      <c r="M22" s="18">
        <f>L22*'00_START'!$B$12</f>
        <v>28.799999999999997</v>
      </c>
      <c r="N22" s="19">
        <f>WORKDAY('00_START'!$B$7-1,(G22-1)*5+1)</f>
        <v>46363.0</v>
      </c>
      <c r="O22" s="19">
        <f>WORKDAY('00_START'!$B$7-1,H22*5)</f>
        <v>46374.0</v>
      </c>
      <c r="P22" s="12" t="inlineStr">
        <is>
          <t>Chưa bắt đầu</t>
        </is>
      </c>
      <c r="Q22" s="20" t="n">
        <v>0</v>
      </c>
      <c r="R22" s="12" t="inlineStr">
        <is>
          <t>QWER, chọn mục tiêu, telegraph, cooldown, hit feed back</t>
        </is>
      </c>
      <c r="S22" s="12" t="inlineStr">
        <is>
          <t>CL-007, CL-008, CL-009, CL-010</t>
        </is>
      </c>
    </row>
    <row r="23" ht="31" customHeight="1">
      <c r="A23" s="11" t="inlineStr">
        <is>
          <t>3.3</t>
        </is>
      </c>
      <c r="B23" s="11" t="inlineStr">
        <is>
          <t>T05-SV</t>
        </is>
      </c>
      <c r="C23" s="11" t="inlineStr">
        <is>
          <t>PvE first playable</t>
        </is>
      </c>
      <c r="D23" s="11" t="inlineStr">
        <is>
          <t>Combat resolver và trạng thái</t>
        </is>
      </c>
      <c r="E23" s="11" t="inlineStr">
        <is>
          <t>SV</t>
        </is>
      </c>
      <c r="F23" s="11" t="n">
        <v>5</v>
      </c>
      <c r="G23" s="11" t="n">
        <v>9</v>
      </c>
      <c r="H23" s="11" t="n">
        <v>10</v>
      </c>
      <c r="I23" s="11" t="inlineStr">
        <is>
          <t>T04-SV</t>
        </is>
      </c>
      <c r="J23" s="13" t="n">
        <v>3</v>
      </c>
      <c r="K23" s="14">
        <f>J23*'00_START'!$B$10</f>
        <v>0.6000000000000001</v>
      </c>
      <c r="L23" s="14">
        <f>J23+K23</f>
        <v>3.5999999999999996</v>
      </c>
      <c r="M23" s="14">
        <f>L23*'00_START'!$B$12</f>
        <v>28.799999999999997</v>
      </c>
      <c r="N23" s="15">
        <f>WORKDAY('00_START'!$B$7-1,(G23-1)*5+1)</f>
        <v>46363.0</v>
      </c>
      <c r="O23" s="15">
        <f>WORKDAY('00_START'!$B$7-1,H23*5)</f>
        <v>46374.0</v>
      </c>
      <c r="P23" s="11" t="inlineStr">
        <is>
          <t>Chưa bắt đầu</t>
        </is>
      </c>
      <c r="Q23" s="16" t="n">
        <v>0</v>
      </c>
      <c r="R23" s="11" t="inlineStr">
        <is>
          <t>Range/LOS/cooldown/mana; damage, shield, slow, stun</t>
        </is>
      </c>
      <c r="S23" s="11" t="inlineStr">
        <is>
          <t>CL-008, CL-009, SV-002, SV-005</t>
        </is>
      </c>
    </row>
    <row r="24" ht="31" customHeight="1">
      <c r="A24" s="12" t="inlineStr">
        <is>
          <t>3.4</t>
        </is>
      </c>
      <c r="B24" s="12" t="inlineStr">
        <is>
          <t>T05-AR</t>
        </is>
      </c>
      <c r="C24" s="12" t="inlineStr">
        <is>
          <t>PvE first playable</t>
        </is>
      </c>
      <c r="D24" s="12" t="inlineStr">
        <is>
          <t>VFX/SFX chiến đấu cơ sở</t>
        </is>
      </c>
      <c r="E24" s="12" t="inlineStr">
        <is>
          <t>AR</t>
        </is>
      </c>
      <c r="F24" s="12" t="n">
        <v>5</v>
      </c>
      <c r="G24" s="12" t="n">
        <v>9</v>
      </c>
      <c r="H24" s="12" t="n">
        <v>10</v>
      </c>
      <c r="I24" s="12" t="inlineStr">
        <is>
          <t>T04-AR</t>
        </is>
      </c>
      <c r="J24" s="17" t="n">
        <v>2.5</v>
      </c>
      <c r="K24" s="18">
        <f>J24*'00_START'!$B$10</f>
        <v>0.5</v>
      </c>
      <c r="L24" s="18">
        <f>J24+K24</f>
        <v>3.0</v>
      </c>
      <c r="M24" s="18">
        <f>L24*'00_START'!$B$12</f>
        <v>24.0</v>
      </c>
      <c r="N24" s="19">
        <f>WORKDAY('00_START'!$B$7-1,(G24-1)*5+1)</f>
        <v>46363.0</v>
      </c>
      <c r="O24" s="19">
        <f>WORKDAY('00_START'!$B$7-1,H24*5)</f>
        <v>46374.0</v>
      </c>
      <c r="P24" s="12" t="inlineStr">
        <is>
          <t>Chưa bắt đầu</t>
        </is>
      </c>
      <c r="Q24" s="20" t="n">
        <v>0</v>
      </c>
      <c r="R24" s="12" t="inlineStr">
        <is>
          <t>Projectile, impact, shield, warning; âm lượng và mute</t>
        </is>
      </c>
      <c r="S24" s="12" t="inlineStr"/>
    </row>
    <row r="25" ht="31" customHeight="1">
      <c r="A25" s="11" t="inlineStr">
        <is>
          <t>3.5</t>
        </is>
      </c>
      <c r="B25" s="11" t="inlineStr">
        <is>
          <t>T06-GD</t>
        </is>
      </c>
      <c r="C25" s="11" t="inlineStr">
        <is>
          <t>PvE first playable</t>
        </is>
      </c>
      <c r="D25" s="11" t="inlineStr">
        <is>
          <t>Gate G2 — vòng đánh quái và nhận thưởng</t>
        </is>
      </c>
      <c r="E25" s="11" t="inlineStr">
        <is>
          <t>GD</t>
        </is>
      </c>
      <c r="F25" s="11" t="n">
        <v>6</v>
      </c>
      <c r="G25" s="11" t="n">
        <v>11</v>
      </c>
      <c r="H25" s="11" t="n">
        <v>12</v>
      </c>
      <c r="I25" s="11" t="inlineStr">
        <is>
          <t>T05-GD, T05-CL, T05-SV</t>
        </is>
      </c>
      <c r="J25" s="13" t="n">
        <v>2.5</v>
      </c>
      <c r="K25" s="14">
        <f>J25*'00_START'!$B$10</f>
        <v>0.5</v>
      </c>
      <c r="L25" s="14">
        <f>J25+K25</f>
        <v>3.0</v>
      </c>
      <c r="M25" s="14">
        <f>L25*'00_START'!$B$12</f>
        <v>24.0</v>
      </c>
      <c r="N25" s="15">
        <f>WORKDAY('00_START'!$B$7-1,(G25-1)*5+1)</f>
        <v>46377.0</v>
      </c>
      <c r="O25" s="15">
        <f>WORKDAY('00_START'!$B$7-1,H25*5)</f>
        <v>46388.0</v>
      </c>
      <c r="P25" s="11" t="inlineStr">
        <is>
          <t>Chưa bắt đầu</t>
        </is>
      </c>
      <c r="Q25" s="16" t="n">
        <v>0</v>
      </c>
      <c r="R25" s="11" t="inlineStr">
        <is>
          <t>10 phiên 15 phút; ghi TTK, lỗi; chưa đo retention dài hạn</t>
        </is>
      </c>
      <c r="S25" s="11" t="inlineStr"/>
    </row>
    <row r="26" ht="31" customHeight="1">
      <c r="A26" s="12" t="inlineStr">
        <is>
          <t>3.6</t>
        </is>
      </c>
      <c r="B26" s="12" t="inlineStr">
        <is>
          <t>T06-CL</t>
        </is>
      </c>
      <c r="C26" s="12" t="inlineStr">
        <is>
          <t>PvE first playable</t>
        </is>
      </c>
      <c r="D26" s="12" t="inlineStr">
        <is>
          <t>Quái, loot và chết/hồi sinh phía client</t>
        </is>
      </c>
      <c r="E26" s="12" t="inlineStr">
        <is>
          <t>CL</t>
        </is>
      </c>
      <c r="F26" s="12" t="n">
        <v>6</v>
      </c>
      <c r="G26" s="12" t="n">
        <v>11</v>
      </c>
      <c r="H26" s="12" t="n">
        <v>12</v>
      </c>
      <c r="I26" s="12" t="inlineStr">
        <is>
          <t>T05-CL</t>
        </is>
      </c>
      <c r="J26" s="17" t="n">
        <v>3</v>
      </c>
      <c r="K26" s="18">
        <f>J26*'00_START'!$B$10</f>
        <v>0.6000000000000001</v>
      </c>
      <c r="L26" s="18">
        <f>J26+K26</f>
        <v>3.5999999999999996</v>
      </c>
      <c r="M26" s="18">
        <f>L26*'00_START'!$B$12</f>
        <v>28.799999999999997</v>
      </c>
      <c r="N26" s="19">
        <f>WORKDAY('00_START'!$B$7-1,(G26-1)*5+1)</f>
        <v>46377.0</v>
      </c>
      <c r="O26" s="19">
        <f>WORKDAY('00_START'!$B$7-1,H26*5)</f>
        <v>46388.0</v>
      </c>
      <c r="P26" s="12" t="inlineStr">
        <is>
          <t>Chưa bắt đầu</t>
        </is>
      </c>
      <c r="Q26" s="20" t="n">
        <v>0</v>
      </c>
      <c r="R26" s="12" t="inlineStr">
        <is>
          <t>Nameplate, loot popup, respawn, NPC interaction</t>
        </is>
      </c>
      <c r="S26" s="12" t="inlineStr">
        <is>
          <t>CL-005, CL-011, CL-012</t>
        </is>
      </c>
    </row>
    <row r="27" ht="31" customHeight="1">
      <c r="A27" s="11" t="inlineStr">
        <is>
          <t>3.7</t>
        </is>
      </c>
      <c r="B27" s="11" t="inlineStr">
        <is>
          <t>T06-SV</t>
        </is>
      </c>
      <c r="C27" s="11" t="inlineStr">
        <is>
          <t>PvE first playable</t>
        </is>
      </c>
      <c r="D27" s="11" t="inlineStr">
        <is>
          <t>AI quái, spawn, loot và hồi sinh</t>
        </is>
      </c>
      <c r="E27" s="11" t="inlineStr">
        <is>
          <t>SV</t>
        </is>
      </c>
      <c r="F27" s="11" t="n">
        <v>6</v>
      </c>
      <c r="G27" s="11" t="n">
        <v>11</v>
      </c>
      <c r="H27" s="11" t="n">
        <v>12</v>
      </c>
      <c r="I27" s="11" t="inlineStr">
        <is>
          <t>T05-SV</t>
        </is>
      </c>
      <c r="J27" s="13" t="n">
        <v>3</v>
      </c>
      <c r="K27" s="14">
        <f>J27*'00_START'!$B$10</f>
        <v>0.6000000000000001</v>
      </c>
      <c r="L27" s="14">
        <f>J27+K27</f>
        <v>3.5999999999999996</v>
      </c>
      <c r="M27" s="14">
        <f>L27*'00_START'!$B$12</f>
        <v>28.799999999999997</v>
      </c>
      <c r="N27" s="15">
        <f>WORKDAY('00_START'!$B$7-1,(G27-1)*5+1)</f>
        <v>46377.0</v>
      </c>
      <c r="O27" s="15">
        <f>WORKDAY('00_START'!$B$7-1,H27*5)</f>
        <v>46388.0</v>
      </c>
      <c r="P27" s="11" t="inlineStr">
        <is>
          <t>Chưa bắt đầu</t>
        </is>
      </c>
      <c r="Q27" s="16" t="n">
        <v>0</v>
      </c>
      <c r="R27" s="11" t="inlineStr">
        <is>
          <t>FSM idle/aggro/chase/attack/leash/dead; reward exactly once</t>
        </is>
      </c>
      <c r="S27" s="11" t="inlineStr">
        <is>
          <t>CL-011, CL-012, SV-006</t>
        </is>
      </c>
    </row>
    <row r="28" ht="31" customHeight="1">
      <c r="A28" s="12" t="inlineStr">
        <is>
          <t>3.8</t>
        </is>
      </c>
      <c r="B28" s="12" t="inlineStr">
        <is>
          <t>T06-AR</t>
        </is>
      </c>
      <c r="C28" s="12" t="inlineStr">
        <is>
          <t>PvE first playable</t>
        </is>
      </c>
      <c r="D28" s="12" t="inlineStr">
        <is>
          <t>Map cày bãi và quái cơ sở</t>
        </is>
      </c>
      <c r="E28" s="12" t="inlineStr">
        <is>
          <t>AR</t>
        </is>
      </c>
      <c r="F28" s="12" t="n">
        <v>6</v>
      </c>
      <c r="G28" s="12" t="n">
        <v>11</v>
      </c>
      <c r="H28" s="12" t="n">
        <v>12</v>
      </c>
      <c r="I28" s="12" t="inlineStr">
        <is>
          <t>T05-AR</t>
        </is>
      </c>
      <c r="J28" s="17" t="n">
        <v>3</v>
      </c>
      <c r="K28" s="18">
        <f>J28*'00_START'!$B$10</f>
        <v>0.6000000000000001</v>
      </c>
      <c r="L28" s="18">
        <f>J28+K28</f>
        <v>3.5999999999999996</v>
      </c>
      <c r="M28" s="18">
        <f>L28*'00_START'!$B$12</f>
        <v>28.799999999999997</v>
      </c>
      <c r="N28" s="19">
        <f>WORKDAY('00_START'!$B$7-1,(G28-1)*5+1)</f>
        <v>46377.0</v>
      </c>
      <c r="O28" s="19">
        <f>WORKDAY('00_START'!$B$7-1,H28*5)</f>
        <v>46388.0</v>
      </c>
      <c r="P28" s="12" t="inlineStr">
        <is>
          <t>Chưa bắt đầu</t>
        </is>
      </c>
      <c r="Q28" s="20" t="n">
        <v>0</v>
      </c>
      <c r="R28" s="12" t="inlineStr">
        <is>
          <t>MAP-02; 6 loại quái dùng biến thể; điểm spawn và collision</t>
        </is>
      </c>
      <c r="S28" s="12" t="inlineStr"/>
    </row>
    <row r="29" ht="31" customHeight="1">
      <c r="A29" s="11" t="inlineStr">
        <is>
          <t>4.1</t>
        </is>
      </c>
      <c r="B29" s="11" t="inlineStr">
        <is>
          <t>T07-GD</t>
        </is>
      </c>
      <c r="C29" s="11" t="inlineStr">
        <is>
          <t>Vòng lặp Cổ và progression</t>
        </is>
      </c>
      <c r="D29" s="11" t="inlineStr">
        <is>
          <t>Thiết kế inventory, economy và dữ liệu Cổ</t>
        </is>
      </c>
      <c r="E29" s="11" t="inlineStr">
        <is>
          <t>GD</t>
        </is>
      </c>
      <c r="F29" s="11" t="n">
        <v>7</v>
      </c>
      <c r="G29" s="11" t="n">
        <v>13</v>
      </c>
      <c r="H29" s="11" t="n">
        <v>14</v>
      </c>
      <c r="I29" s="11" t="inlineStr">
        <is>
          <t>T06-GD</t>
        </is>
      </c>
      <c r="J29" s="13" t="n">
        <v>2.5</v>
      </c>
      <c r="K29" s="14">
        <f>J29*'00_START'!$B$10</f>
        <v>0.5</v>
      </c>
      <c r="L29" s="14">
        <f>J29+K29</f>
        <v>3.0</v>
      </c>
      <c r="M29" s="14">
        <f>L29*'00_START'!$B$12</f>
        <v>24.0</v>
      </c>
      <c r="N29" s="15">
        <f>WORKDAY('00_START'!$B$7-1,(G29-1)*5+1)</f>
        <v>46391.0</v>
      </c>
      <c r="O29" s="15">
        <f>WORKDAY('00_START'!$B$7-1,H29*5)</f>
        <v>46402.0</v>
      </c>
      <c r="P29" s="11" t="inlineStr">
        <is>
          <t>Chưa bắt đầu</t>
        </is>
      </c>
      <c r="Q29" s="16" t="n">
        <v>0</v>
      </c>
      <c r="R29" s="11" t="inlineStr">
        <is>
          <t>Catalog 20 Cổ/10 vật liệu; nguồn-tiêu; bộ test trùng lệnh</t>
        </is>
      </c>
      <c r="S29" s="11" t="inlineStr"/>
    </row>
    <row r="30" ht="31" customHeight="1">
      <c r="A30" s="12" t="inlineStr">
        <is>
          <t>4.2</t>
        </is>
      </c>
      <c r="B30" s="12" t="inlineStr">
        <is>
          <t>T07-CL</t>
        </is>
      </c>
      <c r="C30" s="12" t="inlineStr">
        <is>
          <t>Vòng lặp Cổ và progression</t>
        </is>
      </c>
      <c r="D30" s="12" t="inlineStr">
        <is>
          <t>Túi đồ, tooltip, trang bị Không Khiếu</t>
        </is>
      </c>
      <c r="E30" s="12" t="inlineStr">
        <is>
          <t>CL</t>
        </is>
      </c>
      <c r="F30" s="12" t="n">
        <v>7</v>
      </c>
      <c r="G30" s="12" t="n">
        <v>13</v>
      </c>
      <c r="H30" s="12" t="n">
        <v>14</v>
      </c>
      <c r="I30" s="12" t="inlineStr">
        <is>
          <t>T06-CL</t>
        </is>
      </c>
      <c r="J30" s="17" t="n">
        <v>3</v>
      </c>
      <c r="K30" s="18">
        <f>J30*'00_START'!$B$10</f>
        <v>0.6000000000000001</v>
      </c>
      <c r="L30" s="18">
        <f>J30+K30</f>
        <v>3.5999999999999996</v>
      </c>
      <c r="M30" s="18">
        <f>L30*'00_START'!$B$12</f>
        <v>28.799999999999997</v>
      </c>
      <c r="N30" s="19">
        <f>WORKDAY('00_START'!$B$7-1,(G30-1)*5+1)</f>
        <v>46391.0</v>
      </c>
      <c r="O30" s="19">
        <f>WORKDAY('00_START'!$B$7-1,H30*5)</f>
        <v>46402.0</v>
      </c>
      <c r="P30" s="12" t="inlineStr">
        <is>
          <t>Chưa bắt đầu</t>
        </is>
      </c>
      <c r="Q30" s="20" t="n">
        <v>0</v>
      </c>
      <c r="R30" s="12" t="inlineStr">
        <is>
          <t>30 ô; drag/click equip; 4 active + 2 passive</t>
        </is>
      </c>
      <c r="S30" s="12" t="inlineStr">
        <is>
          <t>CL-007, CL-013, CL-014, CL-015</t>
        </is>
      </c>
    </row>
    <row r="31" ht="31" customHeight="1">
      <c r="A31" s="11" t="inlineStr">
        <is>
          <t>4.3</t>
        </is>
      </c>
      <c r="B31" s="11" t="inlineStr">
        <is>
          <t>T07-SV</t>
        </is>
      </c>
      <c r="C31" s="11" t="inlineStr">
        <is>
          <t>Vòng lặp Cổ và progression</t>
        </is>
      </c>
      <c r="D31" s="11" t="inlineStr">
        <is>
          <t>Persistence inventory và giao dịch nội bộ</t>
        </is>
      </c>
      <c r="E31" s="11" t="inlineStr">
        <is>
          <t>SV</t>
        </is>
      </c>
      <c r="F31" s="11" t="n">
        <v>7</v>
      </c>
      <c r="G31" s="11" t="n">
        <v>13</v>
      </c>
      <c r="H31" s="11" t="n">
        <v>14</v>
      </c>
      <c r="I31" s="11" t="inlineStr">
        <is>
          <t>T06-SV</t>
        </is>
      </c>
      <c r="J31" s="13" t="n">
        <v>3</v>
      </c>
      <c r="K31" s="14">
        <f>J31*'00_START'!$B$10</f>
        <v>0.6000000000000001</v>
      </c>
      <c r="L31" s="14">
        <f>J31+K31</f>
        <v>3.5999999999999996</v>
      </c>
      <c r="M31" s="14">
        <f>L31*'00_START'!$B$12</f>
        <v>28.799999999999997</v>
      </c>
      <c r="N31" s="15">
        <f>WORKDAY('00_START'!$B$7-1,(G31-1)*5+1)</f>
        <v>46391.0</v>
      </c>
      <c r="O31" s="15">
        <f>WORKDAY('00_START'!$B$7-1,H31*5)</f>
        <v>46402.0</v>
      </c>
      <c r="P31" s="11" t="inlineStr">
        <is>
          <t>Chưa bắt đầu</t>
        </is>
      </c>
      <c r="Q31" s="16" t="n">
        <v>0</v>
      </c>
      <c r="R31" s="11" t="inlineStr">
        <is>
          <t>Lock/version; ledger; request ID; atomic reward/equip</t>
        </is>
      </c>
      <c r="S31" s="11" t="inlineStr">
        <is>
          <t>CL-012, CL-013, CL-014, CL-015, SV-007, SV-008, SV-009</t>
        </is>
      </c>
    </row>
    <row r="32" ht="31" customHeight="1">
      <c r="A32" s="12" t="inlineStr">
        <is>
          <t>4.4</t>
        </is>
      </c>
      <c r="B32" s="12" t="inlineStr">
        <is>
          <t>T07-AR</t>
        </is>
      </c>
      <c r="C32" s="12" t="inlineStr">
        <is>
          <t>Vòng lặp Cổ và progression</t>
        </is>
      </c>
      <c r="D32" s="12" t="inlineStr">
        <is>
          <t>Icon Cổ và UI inventory</t>
        </is>
      </c>
      <c r="E32" s="12" t="inlineStr">
        <is>
          <t>AR</t>
        </is>
      </c>
      <c r="F32" s="12" t="n">
        <v>7</v>
      </c>
      <c r="G32" s="12" t="n">
        <v>13</v>
      </c>
      <c r="H32" s="12" t="n">
        <v>14</v>
      </c>
      <c r="I32" s="12" t="inlineStr">
        <is>
          <t>T06-AR</t>
        </is>
      </c>
      <c r="J32" s="17" t="n">
        <v>2.5</v>
      </c>
      <c r="K32" s="18">
        <f>J32*'00_START'!$B$10</f>
        <v>0.5</v>
      </c>
      <c r="L32" s="18">
        <f>J32+K32</f>
        <v>3.0</v>
      </c>
      <c r="M32" s="18">
        <f>L32*'00_START'!$B$12</f>
        <v>24.0</v>
      </c>
      <c r="N32" s="19">
        <f>WORKDAY('00_START'!$B$7-1,(G32-1)*5+1)</f>
        <v>46391.0</v>
      </c>
      <c r="O32" s="19">
        <f>WORKDAY('00_START'!$B$7-1,H32*5)</f>
        <v>46402.0</v>
      </c>
      <c r="P32" s="12" t="inlineStr">
        <is>
          <t>Chưa bắt đầu</t>
        </is>
      </c>
      <c r="Q32" s="20" t="n">
        <v>0</v>
      </c>
      <c r="R32" s="12" t="inlineStr">
        <is>
          <t>20 icon + vật liệu; trạng thái khóa/đói/trang bị đọc rõ</t>
        </is>
      </c>
      <c r="S32" s="12" t="inlineStr"/>
    </row>
    <row r="33" ht="31" customHeight="1">
      <c r="A33" s="11" t="inlineStr">
        <is>
          <t>4.5</t>
        </is>
      </c>
      <c r="B33" s="11" t="inlineStr">
        <is>
          <t>T08-GD</t>
        </is>
      </c>
      <c r="C33" s="11" t="inlineStr">
        <is>
          <t>Vòng lặp Cổ và progression</t>
        </is>
      </c>
      <c r="D33" s="11" t="inlineStr">
        <is>
          <t>Luật bắt và nuôi Cổ, thử chi phí thức ăn</t>
        </is>
      </c>
      <c r="E33" s="11" t="inlineStr">
        <is>
          <t>GD</t>
        </is>
      </c>
      <c r="F33" s="11" t="n">
        <v>8</v>
      </c>
      <c r="G33" s="11" t="n">
        <v>15</v>
      </c>
      <c r="H33" s="11" t="n">
        <v>16</v>
      </c>
      <c r="I33" s="11" t="inlineStr">
        <is>
          <t>T07-GD, T07-SV</t>
        </is>
      </c>
      <c r="J33" s="13" t="n">
        <v>2.5</v>
      </c>
      <c r="K33" s="14">
        <f>J33*'00_START'!$B$10</f>
        <v>0.5</v>
      </c>
      <c r="L33" s="14">
        <f>J33+K33</f>
        <v>3.0</v>
      </c>
      <c r="M33" s="14">
        <f>L33*'00_START'!$B$12</f>
        <v>24.0</v>
      </c>
      <c r="N33" s="15">
        <f>WORKDAY('00_START'!$B$7-1,(G33-1)*5+1)</f>
        <v>46405.0</v>
      </c>
      <c r="O33" s="15">
        <f>WORKDAY('00_START'!$B$7-1,H33*5)</f>
        <v>46416.0</v>
      </c>
      <c r="P33" s="11" t="inlineStr">
        <is>
          <t>Chưa bắt đầu</t>
        </is>
      </c>
      <c r="Q33" s="16" t="n">
        <v>0</v>
      </c>
      <c r="R33" s="11" t="inlineStr">
        <is>
          <t>Cấu hình capture; hunger online; recovery; bộ test</t>
        </is>
      </c>
      <c r="S33" s="11" t="inlineStr"/>
    </row>
    <row r="34" ht="31" customHeight="1">
      <c r="A34" s="12" t="inlineStr">
        <is>
          <t>4.6</t>
        </is>
      </c>
      <c r="B34" s="12" t="inlineStr">
        <is>
          <t>T08-CL</t>
        </is>
      </c>
      <c r="C34" s="12" t="inlineStr">
        <is>
          <t>Vòng lặp Cổ và progression</t>
        </is>
      </c>
      <c r="D34" s="12" t="inlineStr">
        <is>
          <t>UI săn bắt và nuôi Cổ</t>
        </is>
      </c>
      <c r="E34" s="12" t="inlineStr">
        <is>
          <t>CL</t>
        </is>
      </c>
      <c r="F34" s="12" t="n">
        <v>8</v>
      </c>
      <c r="G34" s="12" t="n">
        <v>15</v>
      </c>
      <c r="H34" s="12" t="n">
        <v>16</v>
      </c>
      <c r="I34" s="12" t="inlineStr">
        <is>
          <t>T07-CL</t>
        </is>
      </c>
      <c r="J34" s="17" t="n">
        <v>3</v>
      </c>
      <c r="K34" s="18">
        <f>J34*'00_START'!$B$10</f>
        <v>0.6000000000000001</v>
      </c>
      <c r="L34" s="18">
        <f>J34+K34</f>
        <v>3.5999999999999996</v>
      </c>
      <c r="M34" s="18">
        <f>L34*'00_START'!$B$12</f>
        <v>28.799999999999997</v>
      </c>
      <c r="N34" s="19">
        <f>WORKDAY('00_START'!$B$7-1,(G34-1)*5+1)</f>
        <v>46405.0</v>
      </c>
      <c r="O34" s="19">
        <f>WORKDAY('00_START'!$B$7-1,H34*5)</f>
        <v>46416.0</v>
      </c>
      <c r="P34" s="12" t="inlineStr">
        <is>
          <t>Chưa bắt đầu</t>
        </is>
      </c>
      <c r="Q34" s="20" t="n">
        <v>0</v>
      </c>
      <c r="R34" s="12" t="inlineStr">
        <is>
          <t>Thanh channel bắt Cổ; xác nhận đồ ăn; preview phục hồi</t>
        </is>
      </c>
      <c r="S34" s="12" t="inlineStr">
        <is>
          <t>CL-016, CL-017</t>
        </is>
      </c>
    </row>
    <row r="35" ht="31" customHeight="1">
      <c r="A35" s="11" t="inlineStr">
        <is>
          <t>4.7</t>
        </is>
      </c>
      <c r="B35" s="11" t="inlineStr">
        <is>
          <t>T08-SV</t>
        </is>
      </c>
      <c r="C35" s="11" t="inlineStr">
        <is>
          <t>Vòng lặp Cổ và progression</t>
        </is>
      </c>
      <c r="D35" s="11" t="inlineStr">
        <is>
          <t>Capture và feeding authoritative</t>
        </is>
      </c>
      <c r="E35" s="11" t="inlineStr">
        <is>
          <t>SV</t>
        </is>
      </c>
      <c r="F35" s="11" t="n">
        <v>8</v>
      </c>
      <c r="G35" s="11" t="n">
        <v>15</v>
      </c>
      <c r="H35" s="11" t="n">
        <v>16</v>
      </c>
      <c r="I35" s="11" t="inlineStr">
        <is>
          <t>T07-SV</t>
        </is>
      </c>
      <c r="J35" s="13" t="n">
        <v>3</v>
      </c>
      <c r="K35" s="14">
        <f>J35*'00_START'!$B$10</f>
        <v>0.6000000000000001</v>
      </c>
      <c r="L35" s="14">
        <f>J35+K35</f>
        <v>3.5999999999999996</v>
      </c>
      <c r="M35" s="14">
        <f>L35*'00_START'!$B$12</f>
        <v>28.799999999999997</v>
      </c>
      <c r="N35" s="15">
        <f>WORKDAY('00_START'!$B$7-1,(G35-1)*5+1)</f>
        <v>46405.0</v>
      </c>
      <c r="O35" s="15">
        <f>WORKDAY('00_START'!$B$7-1,H35*5)</f>
        <v>46416.0</v>
      </c>
      <c r="P35" s="11" t="inlineStr">
        <is>
          <t>Chưa bắt đầu</t>
        </is>
      </c>
      <c r="Q35" s="16" t="n">
        <v>0</v>
      </c>
      <c r="R35" s="11" t="inlineStr">
        <is>
          <t>Target claim; roll server; atomic seal/food/reward/hunger</t>
        </is>
      </c>
      <c r="S35" s="11" t="inlineStr">
        <is>
          <t>CL-016, CL-017, SV-006, SV-010</t>
        </is>
      </c>
    </row>
    <row r="36" ht="31" customHeight="1">
      <c r="A36" s="12" t="inlineStr">
        <is>
          <t>4.8</t>
        </is>
      </c>
      <c r="B36" s="12" t="inlineStr">
        <is>
          <t>T08-AR</t>
        </is>
      </c>
      <c r="C36" s="12" t="inlineStr">
        <is>
          <t>Vòng lặp Cổ và progression</t>
        </is>
      </c>
      <c r="D36" s="12" t="inlineStr">
        <is>
          <t>Hiệu ứng bắt Cổ và NPC luyện/nuôi</t>
        </is>
      </c>
      <c r="E36" s="12" t="inlineStr">
        <is>
          <t>AR</t>
        </is>
      </c>
      <c r="F36" s="12" t="n">
        <v>8</v>
      </c>
      <c r="G36" s="12" t="n">
        <v>15</v>
      </c>
      <c r="H36" s="12" t="n">
        <v>16</v>
      </c>
      <c r="I36" s="12" t="inlineStr">
        <is>
          <t>T07-AR</t>
        </is>
      </c>
      <c r="J36" s="17" t="n">
        <v>2</v>
      </c>
      <c r="K36" s="18">
        <f>J36*'00_START'!$B$10</f>
        <v>0.4</v>
      </c>
      <c r="L36" s="18">
        <f>J36+K36</f>
        <v>2.4</v>
      </c>
      <c r="M36" s="18">
        <f>L36*'00_START'!$B$12</f>
        <v>19.2</v>
      </c>
      <c r="N36" s="19">
        <f>WORKDAY('00_START'!$B$7-1,(G36-1)*5+1)</f>
        <v>46405.0</v>
      </c>
      <c r="O36" s="19">
        <f>WORKDAY('00_START'!$B$7-1,H36*5)</f>
        <v>46416.0</v>
      </c>
      <c r="P36" s="12" t="inlineStr">
        <is>
          <t>Chưa bắt đầu</t>
        </is>
      </c>
      <c r="Q36" s="20" t="n">
        <v>0</v>
      </c>
      <c r="R36" s="12" t="inlineStr">
        <is>
          <t>Capture FX, NPC, UI hunger và màn thông báo</t>
        </is>
      </c>
      <c r="S36" s="12" t="inlineStr"/>
    </row>
    <row r="37" ht="31" customHeight="1">
      <c r="A37" s="11" t="inlineStr">
        <is>
          <t>4.9</t>
        </is>
      </c>
      <c r="B37" s="11" t="inlineStr">
        <is>
          <t>T09-GD</t>
        </is>
      </c>
      <c r="C37" s="11" t="inlineStr">
        <is>
          <t>Vòng lặp Cổ và progression</t>
        </is>
      </c>
      <c r="D37" s="11" t="inlineStr">
        <is>
          <t>Công thức luyện và xác suất minh bạch</t>
        </is>
      </c>
      <c r="E37" s="11" t="inlineStr">
        <is>
          <t>GD</t>
        </is>
      </c>
      <c r="F37" s="11" t="n">
        <v>9</v>
      </c>
      <c r="G37" s="11" t="n">
        <v>17</v>
      </c>
      <c r="H37" s="11" t="n">
        <v>18</v>
      </c>
      <c r="I37" s="11" t="inlineStr">
        <is>
          <t>T08-GD</t>
        </is>
      </c>
      <c r="J37" s="13" t="n">
        <v>2.5</v>
      </c>
      <c r="K37" s="14">
        <f>J37*'00_START'!$B$10</f>
        <v>0.5</v>
      </c>
      <c r="L37" s="14">
        <f>J37+K37</f>
        <v>3.0</v>
      </c>
      <c r="M37" s="14">
        <f>L37*'00_START'!$B$12</f>
        <v>24.0</v>
      </c>
      <c r="N37" s="15">
        <f>WORKDAY('00_START'!$B$7-1,(G37-1)*5+1)</f>
        <v>46419.0</v>
      </c>
      <c r="O37" s="15">
        <f>WORKDAY('00_START'!$B$7-1,H37*5)</f>
        <v>46430.0</v>
      </c>
      <c r="P37" s="11" t="inlineStr">
        <is>
          <t>Chưa bắt đầu</t>
        </is>
      </c>
      <c r="Q37" s="16" t="n">
        <v>0</v>
      </c>
      <c r="R37" s="11" t="inlineStr">
        <is>
          <t>10 recipe; pity; 5.000 lượt mô phỏng trên dữ liệu nháp</t>
        </is>
      </c>
      <c r="S37" s="11" t="inlineStr"/>
    </row>
    <row r="38" ht="31" customHeight="1">
      <c r="A38" s="12" t="inlineStr">
        <is>
          <t>4.10</t>
        </is>
      </c>
      <c r="B38" s="12" t="inlineStr">
        <is>
          <t>T09-CL</t>
        </is>
      </c>
      <c r="C38" s="12" t="inlineStr">
        <is>
          <t>Vòng lặp Cổ và progression</t>
        </is>
      </c>
      <c r="D38" s="12" t="inlineStr">
        <is>
          <t>UI luyện Cổ và lịch sử kết quả</t>
        </is>
      </c>
      <c r="E38" s="12" t="inlineStr">
        <is>
          <t>CL</t>
        </is>
      </c>
      <c r="F38" s="12" t="n">
        <v>9</v>
      </c>
      <c r="G38" s="12" t="n">
        <v>17</v>
      </c>
      <c r="H38" s="12" t="n">
        <v>18</v>
      </c>
      <c r="I38" s="12" t="inlineStr">
        <is>
          <t>T08-CL</t>
        </is>
      </c>
      <c r="J38" s="17" t="n">
        <v>3</v>
      </c>
      <c r="K38" s="18">
        <f>J38*'00_START'!$B$10</f>
        <v>0.6000000000000001</v>
      </c>
      <c r="L38" s="18">
        <f>J38+K38</f>
        <v>3.5999999999999996</v>
      </c>
      <c r="M38" s="18">
        <f>L38*'00_START'!$B$12</f>
        <v>28.799999999999997</v>
      </c>
      <c r="N38" s="19">
        <f>WORKDAY('00_START'!$B$7-1,(G38-1)*5+1)</f>
        <v>46419.0</v>
      </c>
      <c r="O38" s="19">
        <f>WORKDAY('00_START'!$B$7-1,H38*5)</f>
        <v>46430.0</v>
      </c>
      <c r="P38" s="12" t="inlineStr">
        <is>
          <t>Chưa bắt đầu</t>
        </is>
      </c>
      <c r="Q38" s="20" t="n">
        <v>0</v>
      </c>
      <c r="R38" s="12" t="inlineStr">
        <is>
          <t>Chọn instance, recipe, preview tỷ lệ; request retry</t>
        </is>
      </c>
      <c r="S38" s="12" t="inlineStr">
        <is>
          <t>CL-018, CL-019</t>
        </is>
      </c>
    </row>
    <row r="39" ht="31" customHeight="1">
      <c r="A39" s="11" t="inlineStr">
        <is>
          <t>4.11</t>
        </is>
      </c>
      <c r="B39" s="11" t="inlineStr">
        <is>
          <t>T09-SV</t>
        </is>
      </c>
      <c r="C39" s="11" t="inlineStr">
        <is>
          <t>Vòng lặp Cổ và progression</t>
        </is>
      </c>
      <c r="D39" s="11" t="inlineStr">
        <is>
          <t>Luyện Cổ transaction và idempotency</t>
        </is>
      </c>
      <c r="E39" s="11" t="inlineStr">
        <is>
          <t>SV</t>
        </is>
      </c>
      <c r="F39" s="11" t="n">
        <v>9</v>
      </c>
      <c r="G39" s="11" t="n">
        <v>17</v>
      </c>
      <c r="H39" s="11" t="n">
        <v>18</v>
      </c>
      <c r="I39" s="11" t="inlineStr">
        <is>
          <t>T08-SV</t>
        </is>
      </c>
      <c r="J39" s="13" t="n">
        <v>3</v>
      </c>
      <c r="K39" s="14">
        <f>J39*'00_START'!$B$10</f>
        <v>0.6000000000000001</v>
      </c>
      <c r="L39" s="14">
        <f>J39+K39</f>
        <v>3.5999999999999996</v>
      </c>
      <c r="M39" s="14">
        <f>L39*'00_START'!$B$12</f>
        <v>28.799999999999997</v>
      </c>
      <c r="N39" s="15">
        <f>WORKDAY('00_START'!$B$7-1,(G39-1)*5+1)</f>
        <v>46419.0</v>
      </c>
      <c r="O39" s="15">
        <f>WORKDAY('00_START'!$B$7-1,H39*5)</f>
        <v>46430.0</v>
      </c>
      <c r="P39" s="11" t="inlineStr">
        <is>
          <t>Chưa bắt đầu</t>
        </is>
      </c>
      <c r="Q39" s="16" t="n">
        <v>0</v>
      </c>
      <c r="R39" s="11" t="inlineStr">
        <is>
          <t>Atomic consume/RNG/pity/output/ledger; crash/retry tests</t>
        </is>
      </c>
      <c r="S39" s="11" t="inlineStr">
        <is>
          <t>CL-018, CL-019, SV-008, SV-011</t>
        </is>
      </c>
    </row>
    <row r="40" ht="31" customHeight="1">
      <c r="A40" s="12" t="inlineStr">
        <is>
          <t>4.12</t>
        </is>
      </c>
      <c r="B40" s="12" t="inlineStr">
        <is>
          <t>T09-AR</t>
        </is>
      </c>
      <c r="C40" s="12" t="inlineStr">
        <is>
          <t>Vòng lặp Cổ và progression</t>
        </is>
      </c>
      <c r="D40" s="12" t="inlineStr">
        <is>
          <t>UI luyện Cổ và thông báo kết quả</t>
        </is>
      </c>
      <c r="E40" s="12" t="inlineStr">
        <is>
          <t>AR</t>
        </is>
      </c>
      <c r="F40" s="12" t="n">
        <v>9</v>
      </c>
      <c r="G40" s="12" t="n">
        <v>17</v>
      </c>
      <c r="H40" s="12" t="n">
        <v>18</v>
      </c>
      <c r="I40" s="12" t="inlineStr">
        <is>
          <t>T08-AR</t>
        </is>
      </c>
      <c r="J40" s="17" t="n">
        <v>2</v>
      </c>
      <c r="K40" s="18">
        <f>J40*'00_START'!$B$10</f>
        <v>0.4</v>
      </c>
      <c r="L40" s="18">
        <f>J40+K40</f>
        <v>2.4</v>
      </c>
      <c r="M40" s="18">
        <f>L40*'00_START'!$B$12</f>
        <v>19.2</v>
      </c>
      <c r="N40" s="19">
        <f>WORKDAY('00_START'!$B$7-1,(G40-1)*5+1)</f>
        <v>46419.0</v>
      </c>
      <c r="O40" s="19">
        <f>WORKDAY('00_START'!$B$7-1,H40*5)</f>
        <v>46430.0</v>
      </c>
      <c r="P40" s="12" t="inlineStr">
        <is>
          <t>Chưa bắt đầu</t>
        </is>
      </c>
      <c r="Q40" s="20" t="n">
        <v>0</v>
      </c>
      <c r="R40" s="12" t="inlineStr">
        <is>
          <t>Success/fail khác nhau; không chỉ phân biệt bằng màu</t>
        </is>
      </c>
      <c r="S40" s="12" t="inlineStr"/>
    </row>
    <row r="41" ht="31" customHeight="1">
      <c r="A41" s="11" t="inlineStr">
        <is>
          <t>4.13</t>
        </is>
      </c>
      <c r="B41" s="11" t="inlineStr">
        <is>
          <t>T10-GD</t>
        </is>
      </c>
      <c r="C41" s="11" t="inlineStr">
        <is>
          <t>Vòng lặp Cổ và progression</t>
        </is>
      </c>
      <c r="D41" s="11" t="inlineStr">
        <is>
          <t>Quest, cấp độ và thăng chuyển</t>
        </is>
      </c>
      <c r="E41" s="11" t="inlineStr">
        <is>
          <t>GD</t>
        </is>
      </c>
      <c r="F41" s="11" t="n">
        <v>10</v>
      </c>
      <c r="G41" s="11" t="n">
        <v>19</v>
      </c>
      <c r="H41" s="11" t="n">
        <v>20</v>
      </c>
      <c r="I41" s="11" t="inlineStr">
        <is>
          <t>T09-GD</t>
        </is>
      </c>
      <c r="J41" s="13" t="n">
        <v>2.5</v>
      </c>
      <c r="K41" s="14">
        <f>J41*'00_START'!$B$10</f>
        <v>0.5</v>
      </c>
      <c r="L41" s="14">
        <f>J41+K41</f>
        <v>3.0</v>
      </c>
      <c r="M41" s="14">
        <f>L41*'00_START'!$B$12</f>
        <v>24.0</v>
      </c>
      <c r="N41" s="15">
        <f>WORKDAY('00_START'!$B$7-1,(G41-1)*5+1)</f>
        <v>46433.0</v>
      </c>
      <c r="O41" s="15">
        <f>WORKDAY('00_START'!$B$7-1,H41*5)</f>
        <v>46444.0</v>
      </c>
      <c r="P41" s="11" t="inlineStr">
        <is>
          <t>Chưa bắt đầu</t>
        </is>
      </c>
      <c r="Q41" s="16" t="n">
        <v>0</v>
      </c>
      <c r="R41" s="11" t="inlineStr">
        <is>
          <t>10 quest; level 1–20; rank I–II; XP curve</t>
        </is>
      </c>
      <c r="S41" s="11" t="inlineStr"/>
    </row>
    <row r="42" ht="31" customHeight="1">
      <c r="A42" s="12" t="inlineStr">
        <is>
          <t>4.14</t>
        </is>
      </c>
      <c r="B42" s="12" t="inlineStr">
        <is>
          <t>T10-CL</t>
        </is>
      </c>
      <c r="C42" s="12" t="inlineStr">
        <is>
          <t>Vòng lặp Cổ và progression</t>
        </is>
      </c>
      <c r="D42" s="12" t="inlineStr">
        <is>
          <t>Quest tracker, level up và NPC shop</t>
        </is>
      </c>
      <c r="E42" s="12" t="inlineStr">
        <is>
          <t>CL</t>
        </is>
      </c>
      <c r="F42" s="12" t="n">
        <v>10</v>
      </c>
      <c r="G42" s="12" t="n">
        <v>19</v>
      </c>
      <c r="H42" s="12" t="n">
        <v>20</v>
      </c>
      <c r="I42" s="12" t="inlineStr">
        <is>
          <t>T09-CL</t>
        </is>
      </c>
      <c r="J42" s="17" t="n">
        <v>3</v>
      </c>
      <c r="K42" s="18">
        <f>J42*'00_START'!$B$10</f>
        <v>0.6000000000000001</v>
      </c>
      <c r="L42" s="18">
        <f>J42+K42</f>
        <v>3.5999999999999996</v>
      </c>
      <c r="M42" s="18">
        <f>L42*'00_START'!$B$12</f>
        <v>28.799999999999997</v>
      </c>
      <c r="N42" s="19">
        <f>WORKDAY('00_START'!$B$7-1,(G42-1)*5+1)</f>
        <v>46433.0</v>
      </c>
      <c r="O42" s="19">
        <f>WORKDAY('00_START'!$B$7-1,H42*5)</f>
        <v>46444.0</v>
      </c>
      <c r="P42" s="12" t="inlineStr">
        <is>
          <t>Chưa bắt đầu</t>
        </is>
      </c>
      <c r="Q42" s="20" t="n">
        <v>0</v>
      </c>
      <c r="R42" s="12" t="inlineStr">
        <is>
          <t>Nhận/trả quest; shop fixed price; kiểm tra rank</t>
        </is>
      </c>
      <c r="S42" s="12" t="inlineStr">
        <is>
          <t>CL-020, CL-021, CL-022, CL-029, SV-009</t>
        </is>
      </c>
    </row>
    <row r="43" ht="31" customHeight="1">
      <c r="A43" s="11" t="inlineStr">
        <is>
          <t>4.15</t>
        </is>
      </c>
      <c r="B43" s="11" t="inlineStr">
        <is>
          <t>T10-SV</t>
        </is>
      </c>
      <c r="C43" s="11" t="inlineStr">
        <is>
          <t>Vòng lặp Cổ và progression</t>
        </is>
      </c>
      <c r="D43" s="11" t="inlineStr">
        <is>
          <t>Quest/progression/NPC economy</t>
        </is>
      </c>
      <c r="E43" s="11" t="inlineStr">
        <is>
          <t>SV</t>
        </is>
      </c>
      <c r="F43" s="11" t="n">
        <v>10</v>
      </c>
      <c r="G43" s="11" t="n">
        <v>19</v>
      </c>
      <c r="H43" s="11" t="n">
        <v>20</v>
      </c>
      <c r="I43" s="11" t="inlineStr">
        <is>
          <t>T09-SV</t>
        </is>
      </c>
      <c r="J43" s="13" t="n">
        <v>3</v>
      </c>
      <c r="K43" s="14">
        <f>J43*'00_START'!$B$10</f>
        <v>0.6000000000000001</v>
      </c>
      <c r="L43" s="14">
        <f>J43+K43</f>
        <v>3.5999999999999996</v>
      </c>
      <c r="M43" s="14">
        <f>L43*'00_START'!$B$12</f>
        <v>28.799999999999997</v>
      </c>
      <c r="N43" s="15">
        <f>WORKDAY('00_START'!$B$7-1,(G43-1)*5+1)</f>
        <v>46433.0</v>
      </c>
      <c r="O43" s="15">
        <f>WORKDAY('00_START'!$B$7-1,H43*5)</f>
        <v>46444.0</v>
      </c>
      <c r="P43" s="11" t="inlineStr">
        <is>
          <t>Chưa bắt đầu</t>
        </is>
      </c>
      <c r="Q43" s="16" t="n">
        <v>0</v>
      </c>
      <c r="R43" s="11" t="inlineStr">
        <is>
          <t>Event quest; atomic claim/rank-up/buy/sell; caps</t>
        </is>
      </c>
      <c r="S43" s="11" t="inlineStr">
        <is>
          <t>CL-020, CL-021, CL-022, SV-008, SV-012</t>
        </is>
      </c>
    </row>
    <row r="44" ht="31" customHeight="1">
      <c r="A44" s="12" t="inlineStr">
        <is>
          <t>4.16</t>
        </is>
      </c>
      <c r="B44" s="12" t="inlineStr">
        <is>
          <t>T10-AR</t>
        </is>
      </c>
      <c r="C44" s="12" t="inlineStr">
        <is>
          <t>Vòng lặp Cổ và progression</t>
        </is>
      </c>
      <c r="D44" s="12" t="inlineStr">
        <is>
          <t>Hoàn thiện map, NPC và props tái sử dụng</t>
        </is>
      </c>
      <c r="E44" s="12" t="inlineStr">
        <is>
          <t>AR</t>
        </is>
      </c>
      <c r="F44" s="12" t="n">
        <v>10</v>
      </c>
      <c r="G44" s="12" t="n">
        <v>19</v>
      </c>
      <c r="H44" s="12" t="n">
        <v>20</v>
      </c>
      <c r="I44" s="12" t="inlineStr">
        <is>
          <t>T09-AR</t>
        </is>
      </c>
      <c r="J44" s="17" t="n">
        <v>2.5</v>
      </c>
      <c r="K44" s="18">
        <f>J44*'00_START'!$B$10</f>
        <v>0.5</v>
      </c>
      <c r="L44" s="18">
        <f>J44+K44</f>
        <v>3.0</v>
      </c>
      <c r="M44" s="18">
        <f>L44*'00_START'!$B$12</f>
        <v>24.0</v>
      </c>
      <c r="N44" s="19">
        <f>WORKDAY('00_START'!$B$7-1,(G44-1)*5+1)</f>
        <v>46433.0</v>
      </c>
      <c r="O44" s="19">
        <f>WORKDAY('00_START'!$B$7-1,H44*5)</f>
        <v>46444.0</v>
      </c>
      <c r="P44" s="12" t="inlineStr">
        <is>
          <t>Chưa bắt đầu</t>
        </is>
      </c>
      <c r="Q44" s="20" t="n">
        <v>0</v>
      </c>
      <c r="R44" s="12" t="inlineStr">
        <is>
          <t>Town/farm đủ đường đi; 4 NPC; collision đã đánh dấu</t>
        </is>
      </c>
      <c r="S44" s="12" t="inlineStr"/>
    </row>
    <row r="45" ht="31" customHeight="1">
      <c r="A45" s="11" t="inlineStr">
        <is>
          <t>4.17</t>
        </is>
      </c>
      <c r="B45" s="11" t="inlineStr">
        <is>
          <t>T11-GD</t>
        </is>
      </c>
      <c r="C45" s="11" t="inlineStr">
        <is>
          <t>Vòng lặp Cổ và progression</t>
        </is>
      </c>
      <c r="D45" s="11" t="inlineStr">
        <is>
          <t>Cân bằng đầy đủ 20 Cổ và nguồn loot</t>
        </is>
      </c>
      <c r="E45" s="11" t="inlineStr">
        <is>
          <t>GD</t>
        </is>
      </c>
      <c r="F45" s="11" t="n">
        <v>11</v>
      </c>
      <c r="G45" s="11" t="n">
        <v>21</v>
      </c>
      <c r="H45" s="11" t="n">
        <v>22</v>
      </c>
      <c r="I45" s="11" t="inlineStr">
        <is>
          <t>T10-GD</t>
        </is>
      </c>
      <c r="J45" s="13" t="n">
        <v>3</v>
      </c>
      <c r="K45" s="14">
        <f>J45*'00_START'!$B$10</f>
        <v>0.6000000000000001</v>
      </c>
      <c r="L45" s="14">
        <f>J45+K45</f>
        <v>3.5999999999999996</v>
      </c>
      <c r="M45" s="14">
        <f>L45*'00_START'!$B$12</f>
        <v>28.799999999999997</v>
      </c>
      <c r="N45" s="15">
        <f>WORKDAY('00_START'!$B$7-1,(G45-1)*5+1)</f>
        <v>46447.0</v>
      </c>
      <c r="O45" s="15">
        <f>WORKDAY('00_START'!$B$7-1,H45*5)</f>
        <v>46458.0</v>
      </c>
      <c r="P45" s="11" t="inlineStr">
        <is>
          <t>Chưa bắt đầu</t>
        </is>
      </c>
      <c r="Q45" s="16" t="n">
        <v>0</v>
      </c>
      <c r="R45" s="11" t="inlineStr">
        <is>
          <t>20 Cổ từ 8 primitive; 3 build khả thi; loot catalog</t>
        </is>
      </c>
      <c r="S45" s="11" t="inlineStr">
        <is>
          <t>CL-030</t>
        </is>
      </c>
    </row>
    <row r="46" ht="31" customHeight="1">
      <c r="A46" s="12" t="inlineStr">
        <is>
          <t>4.18</t>
        </is>
      </c>
      <c r="B46" s="12" t="inlineStr">
        <is>
          <t>T11-CL</t>
        </is>
      </c>
      <c r="C46" s="12" t="inlineStr">
        <is>
          <t>Vòng lặp Cổ và progression</t>
        </is>
      </c>
      <c r="D46" s="12" t="inlineStr">
        <is>
          <t>Tích hợp đầy đủ Cổ, passive và codex</t>
        </is>
      </c>
      <c r="E46" s="12" t="inlineStr">
        <is>
          <t>CL</t>
        </is>
      </c>
      <c r="F46" s="12" t="n">
        <v>11</v>
      </c>
      <c r="G46" s="12" t="n">
        <v>21</v>
      </c>
      <c r="H46" s="12" t="n">
        <v>22</v>
      </c>
      <c r="I46" s="12" t="inlineStr">
        <is>
          <t>T10-CL</t>
        </is>
      </c>
      <c r="J46" s="17" t="n">
        <v>3</v>
      </c>
      <c r="K46" s="18">
        <f>J46*'00_START'!$B$10</f>
        <v>0.6000000000000001</v>
      </c>
      <c r="L46" s="18">
        <f>J46+K46</f>
        <v>3.5999999999999996</v>
      </c>
      <c r="M46" s="18">
        <f>L46*'00_START'!$B$12</f>
        <v>28.799999999999997</v>
      </c>
      <c r="N46" s="19">
        <f>WORKDAY('00_START'!$B$7-1,(G46-1)*5+1)</f>
        <v>46447.0</v>
      </c>
      <c r="O46" s="19">
        <f>WORKDAY('00_START'!$B$7-1,H46*5)</f>
        <v>46458.0</v>
      </c>
      <c r="P46" s="12" t="inlineStr">
        <is>
          <t>Chưa bắt đầu</t>
        </is>
      </c>
      <c r="Q46" s="20" t="n">
        <v>0</v>
      </c>
      <c r="R46" s="12" t="inlineStr">
        <is>
          <t>20 Cổ data-driven; status icons; mô tả đầy đủ</t>
        </is>
      </c>
      <c r="S46" s="12" t="inlineStr">
        <is>
          <t>CL-007, CL-008, CL-010, CL-030</t>
        </is>
      </c>
    </row>
    <row r="47" ht="31" customHeight="1">
      <c r="A47" s="11" t="inlineStr">
        <is>
          <t>4.19</t>
        </is>
      </c>
      <c r="B47" s="11" t="inlineStr">
        <is>
          <t>T11-SV</t>
        </is>
      </c>
      <c r="C47" s="11" t="inlineStr">
        <is>
          <t>Vòng lặp Cổ và progression</t>
        </is>
      </c>
      <c r="D47" s="11" t="inlineStr">
        <is>
          <t>Mở rộng effect primitives và content validator</t>
        </is>
      </c>
      <c r="E47" s="11" t="inlineStr">
        <is>
          <t>SV</t>
        </is>
      </c>
      <c r="F47" s="11" t="n">
        <v>11</v>
      </c>
      <c r="G47" s="11" t="n">
        <v>21</v>
      </c>
      <c r="H47" s="11" t="n">
        <v>22</v>
      </c>
      <c r="I47" s="11" t="inlineStr">
        <is>
          <t>T10-SV</t>
        </is>
      </c>
      <c r="J47" s="13" t="n">
        <v>3</v>
      </c>
      <c r="K47" s="14">
        <f>J47*'00_START'!$B$10</f>
        <v>0.6000000000000001</v>
      </c>
      <c r="L47" s="14">
        <f>J47+K47</f>
        <v>3.5999999999999996</v>
      </c>
      <c r="M47" s="14">
        <f>L47*'00_START'!$B$12</f>
        <v>28.799999999999997</v>
      </c>
      <c r="N47" s="15">
        <f>WORKDAY('00_START'!$B$7-1,(G47-1)*5+1)</f>
        <v>46447.0</v>
      </c>
      <c r="O47" s="15">
        <f>WORKDAY('00_START'!$B$7-1,H47*5)</f>
        <v>46458.0</v>
      </c>
      <c r="P47" s="11" t="inlineStr">
        <is>
          <t>Chưa bắt đầu</t>
        </is>
      </c>
      <c r="Q47" s="16" t="n">
        <v>0</v>
      </c>
      <c r="R47" s="11" t="inlineStr">
        <is>
          <t>8 primitive; passive stack policy; schema/version checks</t>
        </is>
      </c>
      <c r="S47" s="11" t="inlineStr">
        <is>
          <t>CL-015, SV-005, SV-015</t>
        </is>
      </c>
    </row>
    <row r="48" ht="31" customHeight="1">
      <c r="A48" s="12" t="inlineStr">
        <is>
          <t>4.20</t>
        </is>
      </c>
      <c r="B48" s="12" t="inlineStr">
        <is>
          <t>T11-AR</t>
        </is>
      </c>
      <c r="C48" s="12" t="inlineStr">
        <is>
          <t>Vòng lặp Cổ và progression</t>
        </is>
      </c>
      <c r="D48" s="12" t="inlineStr">
        <is>
          <t>Hoàn thiện icon, animation và status FX</t>
        </is>
      </c>
      <c r="E48" s="12" t="inlineStr">
        <is>
          <t>AR</t>
        </is>
      </c>
      <c r="F48" s="12" t="n">
        <v>11</v>
      </c>
      <c r="G48" s="12" t="n">
        <v>21</v>
      </c>
      <c r="H48" s="12" t="n">
        <v>22</v>
      </c>
      <c r="I48" s="12" t="inlineStr">
        <is>
          <t>T10-AR</t>
        </is>
      </c>
      <c r="J48" s="17" t="n">
        <v>2.5</v>
      </c>
      <c r="K48" s="18">
        <f>J48*'00_START'!$B$10</f>
        <v>0.5</v>
      </c>
      <c r="L48" s="18">
        <f>J48+K48</f>
        <v>3.0</v>
      </c>
      <c r="M48" s="18">
        <f>L48*'00_START'!$B$12</f>
        <v>24.0</v>
      </c>
      <c r="N48" s="19">
        <f>WORKDAY('00_START'!$B$7-1,(G48-1)*5+1)</f>
        <v>46447.0</v>
      </c>
      <c r="O48" s="19">
        <f>WORKDAY('00_START'!$B$7-1,H48*5)</f>
        <v>46458.0</v>
      </c>
      <c r="P48" s="12" t="inlineStr">
        <is>
          <t>Chưa bắt đầu</t>
        </is>
      </c>
      <c r="Q48" s="20" t="n">
        <v>0</v>
      </c>
      <c r="R48" s="12" t="inlineStr">
        <is>
          <t>Bộ icon final alpha; hit/death; FX dùng lại</t>
        </is>
      </c>
      <c r="S48" s="12" t="inlineStr">
        <is>
          <t>CL-010</t>
        </is>
      </c>
    </row>
    <row r="49" ht="31" customHeight="1">
      <c r="A49" s="11" t="inlineStr">
        <is>
          <t>4.21</t>
        </is>
      </c>
      <c r="B49" s="11" t="inlineStr">
        <is>
          <t>T12-GD</t>
        </is>
      </c>
      <c r="C49" s="11" t="inlineStr">
        <is>
          <t>Vòng lặp Cổ và progression</t>
        </is>
      </c>
      <c r="D49" s="11" t="inlineStr">
        <is>
          <t>Gate G3 — E2E vòng Cổ</t>
        </is>
      </c>
      <c r="E49" s="11" t="inlineStr">
        <is>
          <t>GD</t>
        </is>
      </c>
      <c r="F49" s="11" t="n">
        <v>12</v>
      </c>
      <c r="G49" s="11" t="n">
        <v>23</v>
      </c>
      <c r="H49" s="11" t="n">
        <v>24</v>
      </c>
      <c r="I49" s="11" t="inlineStr">
        <is>
          <t>T11-GD, T11-CL, T11-SV</t>
        </is>
      </c>
      <c r="J49" s="13" t="n">
        <v>3</v>
      </c>
      <c r="K49" s="14">
        <f>J49*'00_START'!$B$10</f>
        <v>0.6000000000000001</v>
      </c>
      <c r="L49" s="14">
        <f>J49+K49</f>
        <v>3.5999999999999996</v>
      </c>
      <c r="M49" s="14">
        <f>L49*'00_START'!$B$12</f>
        <v>28.799999999999997</v>
      </c>
      <c r="N49" s="15">
        <f>WORKDAY('00_START'!$B$7-1,(G49-1)*5+1)</f>
        <v>46461.0</v>
      </c>
      <c r="O49" s="15">
        <f>WORKDAY('00_START'!$B$7-1,H49*5)</f>
        <v>46472.0</v>
      </c>
      <c r="P49" s="11" t="inlineStr">
        <is>
          <t>Chưa bắt đầu</t>
        </is>
      </c>
      <c r="Q49" s="16" t="n">
        <v>0</v>
      </c>
      <c r="R49" s="11" t="inlineStr">
        <is>
          <t>20 tester nội bộ/luân phiên; capture→feed→craft→equip→fight</t>
        </is>
      </c>
      <c r="S49" s="11" t="inlineStr"/>
    </row>
    <row r="50" ht="31" customHeight="1">
      <c r="A50" s="12" t="inlineStr">
        <is>
          <t>4.22</t>
        </is>
      </c>
      <c r="B50" s="12" t="inlineStr">
        <is>
          <t>T12-CL</t>
        </is>
      </c>
      <c r="C50" s="12" t="inlineStr">
        <is>
          <t>Vòng lặp Cổ và progression</t>
        </is>
      </c>
      <c r="D50" s="12" t="inlineStr">
        <is>
          <t>Reconnect UI và E2E sửa lỗi client</t>
        </is>
      </c>
      <c r="E50" s="12" t="inlineStr">
        <is>
          <t>CL</t>
        </is>
      </c>
      <c r="F50" s="12" t="n">
        <v>12</v>
      </c>
      <c r="G50" s="12" t="n">
        <v>23</v>
      </c>
      <c r="H50" s="12" t="n">
        <v>24</v>
      </c>
      <c r="I50" s="12" t="inlineStr">
        <is>
          <t>T11-CL</t>
        </is>
      </c>
      <c r="J50" s="17" t="n">
        <v>3</v>
      </c>
      <c r="K50" s="18">
        <f>J50*'00_START'!$B$10</f>
        <v>0.6000000000000001</v>
      </c>
      <c r="L50" s="18">
        <f>J50+K50</f>
        <v>3.5999999999999996</v>
      </c>
      <c r="M50" s="18">
        <f>L50*'00_START'!$B$12</f>
        <v>28.799999999999997</v>
      </c>
      <c r="N50" s="19">
        <f>WORKDAY('00_START'!$B$7-1,(G50-1)*5+1)</f>
        <v>46461.0</v>
      </c>
      <c r="O50" s="19">
        <f>WORKDAY('00_START'!$B$7-1,H50*5)</f>
        <v>46472.0</v>
      </c>
      <c r="P50" s="12" t="inlineStr">
        <is>
          <t>Chưa bắt đầu</t>
        </is>
      </c>
      <c r="Q50" s="20" t="n">
        <v>0</v>
      </c>
      <c r="R50" s="12" t="inlineStr">
        <is>
          <t>Overlay mất mạng; resync bag/status; không gửi lệnh cũ</t>
        </is>
      </c>
      <c r="S50" s="12" t="inlineStr">
        <is>
          <t>CL-006, CL-027</t>
        </is>
      </c>
    </row>
    <row r="51" ht="31" customHeight="1">
      <c r="A51" s="11" t="inlineStr">
        <is>
          <t>4.23</t>
        </is>
      </c>
      <c r="B51" s="11" t="inlineStr">
        <is>
          <t>T12-SV</t>
        </is>
      </c>
      <c r="C51" s="11" t="inlineStr">
        <is>
          <t>Vòng lặp Cổ và progression</t>
        </is>
      </c>
      <c r="D51" s="11" t="inlineStr">
        <is>
          <t>Reconnect, map handoff và crash recovery</t>
        </is>
      </c>
      <c r="E51" s="11" t="inlineStr">
        <is>
          <t>SV</t>
        </is>
      </c>
      <c r="F51" s="11" t="n">
        <v>12</v>
      </c>
      <c r="G51" s="11" t="n">
        <v>23</v>
      </c>
      <c r="H51" s="11" t="n">
        <v>24</v>
      </c>
      <c r="I51" s="11" t="inlineStr">
        <is>
          <t>T11-SV</t>
        </is>
      </c>
      <c r="J51" s="13" t="n">
        <v>3</v>
      </c>
      <c r="K51" s="14">
        <f>J51*'00_START'!$B$10</f>
        <v>0.6000000000000001</v>
      </c>
      <c r="L51" s="14">
        <f>J51+K51</f>
        <v>3.5999999999999996</v>
      </c>
      <c r="M51" s="14">
        <f>L51*'00_START'!$B$12</f>
        <v>28.799999999999997</v>
      </c>
      <c r="N51" s="15">
        <f>WORKDAY('00_START'!$B$7-1,(G51-1)*5+1)</f>
        <v>46461.0</v>
      </c>
      <c r="O51" s="15">
        <f>WORKDAY('00_START'!$B$7-1,H51*5)</f>
        <v>46472.0</v>
      </c>
      <c r="P51" s="11" t="inlineStr">
        <is>
          <t>Chưa bắt đầu</t>
        </is>
      </c>
      <c r="Q51" s="16" t="n">
        <v>0</v>
      </c>
      <c r="R51" s="11" t="inlineStr">
        <is>
          <t>Lease fencing; reserve/commit transfer; durable state resync</t>
        </is>
      </c>
      <c r="S51" s="11" t="inlineStr">
        <is>
          <t>CL-006, CL-027, SV-003, SV-004, SV-007</t>
        </is>
      </c>
    </row>
    <row r="52" ht="31" customHeight="1">
      <c r="A52" s="12" t="inlineStr">
        <is>
          <t>4.24</t>
        </is>
      </c>
      <c r="B52" s="12" t="inlineStr">
        <is>
          <t>T12-AR</t>
        </is>
      </c>
      <c r="C52" s="12" t="inlineStr">
        <is>
          <t>Vòng lặp Cổ và progression</t>
        </is>
      </c>
      <c r="D52" s="12" t="inlineStr">
        <is>
          <t>Map phụ bản và boss blockout</t>
        </is>
      </c>
      <c r="E52" s="12" t="inlineStr">
        <is>
          <t>AR</t>
        </is>
      </c>
      <c r="F52" s="12" t="n">
        <v>12</v>
      </c>
      <c r="G52" s="12" t="n">
        <v>23</v>
      </c>
      <c r="H52" s="12" t="n">
        <v>24</v>
      </c>
      <c r="I52" s="12" t="inlineStr">
        <is>
          <t>T11-AR</t>
        </is>
      </c>
      <c r="J52" s="17" t="n">
        <v>2.5</v>
      </c>
      <c r="K52" s="18">
        <f>J52*'00_START'!$B$10</f>
        <v>0.5</v>
      </c>
      <c r="L52" s="18">
        <f>J52+K52</f>
        <v>3.0</v>
      </c>
      <c r="M52" s="18">
        <f>L52*'00_START'!$B$12</f>
        <v>24.0</v>
      </c>
      <c r="N52" s="19">
        <f>WORKDAY('00_START'!$B$7-1,(G52-1)*5+1)</f>
        <v>46461.0</v>
      </c>
      <c r="O52" s="19">
        <f>WORKDAY('00_START'!$B$7-1,H52*5)</f>
        <v>46472.0</v>
      </c>
      <c r="P52" s="12" t="inlineStr">
        <is>
          <t>Chưa bắt đầu</t>
        </is>
      </c>
      <c r="Q52" s="20" t="n">
        <v>0</v>
      </c>
      <c r="R52" s="12" t="inlineStr">
        <is>
          <t>MAP-03; arena tái dùng vùng; telegraph đủ khoảng né</t>
        </is>
      </c>
      <c r="S52" s="12" t="inlineStr"/>
    </row>
    <row r="53" ht="31" customHeight="1">
      <c r="A53" s="11" t="inlineStr">
        <is>
          <t>5.1</t>
        </is>
      </c>
      <c r="B53" s="11" t="inlineStr">
        <is>
          <t>T13-GD</t>
        </is>
      </c>
      <c r="C53" s="11" t="inlineStr">
        <is>
          <t>Nội dung multiplayer giới hạn</t>
        </is>
      </c>
      <c r="D53" s="11" t="inlineStr">
        <is>
          <t>Thiết kế party/boss/arena và QA matrix</t>
        </is>
      </c>
      <c r="E53" s="11" t="inlineStr">
        <is>
          <t>GD</t>
        </is>
      </c>
      <c r="F53" s="11" t="n">
        <v>13</v>
      </c>
      <c r="G53" s="11" t="n">
        <v>25</v>
      </c>
      <c r="H53" s="11" t="n">
        <v>26</v>
      </c>
      <c r="I53" s="11" t="inlineStr">
        <is>
          <t>T12-GD</t>
        </is>
      </c>
      <c r="J53" s="13" t="n">
        <v>2.5</v>
      </c>
      <c r="K53" s="14">
        <f>J53*'00_START'!$B$10</f>
        <v>0.5</v>
      </c>
      <c r="L53" s="14">
        <f>J53+K53</f>
        <v>3.0</v>
      </c>
      <c r="M53" s="14">
        <f>L53*'00_START'!$B$12</f>
        <v>24.0</v>
      </c>
      <c r="N53" s="15">
        <f>WORKDAY('00_START'!$B$7-1,(G53-1)*5+1)</f>
        <v>46475.0</v>
      </c>
      <c r="O53" s="15">
        <f>WORKDAY('00_START'!$B$7-1,H53*5)</f>
        <v>46486.0</v>
      </c>
      <c r="P53" s="11" t="inlineStr">
        <is>
          <t>Chưa bắt đầu</t>
        </is>
      </c>
      <c r="Q53" s="16" t="n">
        <v>0</v>
      </c>
      <c r="R53" s="11" t="inlineStr">
        <is>
          <t>Party 3; loot cá nhân; trận 1v1 không xếp hạng</t>
        </is>
      </c>
      <c r="S53" s="11" t="inlineStr"/>
    </row>
    <row r="54" ht="31" customHeight="1">
      <c r="A54" s="12" t="inlineStr">
        <is>
          <t>5.2</t>
        </is>
      </c>
      <c r="B54" s="12" t="inlineStr">
        <is>
          <t>T13-CL</t>
        </is>
      </c>
      <c r="C54" s="12" t="inlineStr">
        <is>
          <t>Nội dung multiplayer giới hạn</t>
        </is>
      </c>
      <c r="D54" s="12" t="inlineStr">
        <is>
          <t>Party và chat khu vực/party</t>
        </is>
      </c>
      <c r="E54" s="12" t="inlineStr">
        <is>
          <t>CL</t>
        </is>
      </c>
      <c r="F54" s="12" t="n">
        <v>13</v>
      </c>
      <c r="G54" s="12" t="n">
        <v>25</v>
      </c>
      <c r="H54" s="12" t="n">
        <v>26</v>
      </c>
      <c r="I54" s="12" t="inlineStr">
        <is>
          <t>T12-CL</t>
        </is>
      </c>
      <c r="J54" s="17" t="n">
        <v>3</v>
      </c>
      <c r="K54" s="18">
        <f>J54*'00_START'!$B$10</f>
        <v>0.6000000000000001</v>
      </c>
      <c r="L54" s="18">
        <f>J54+K54</f>
        <v>3.5999999999999996</v>
      </c>
      <c r="M54" s="18">
        <f>L54*'00_START'!$B$12</f>
        <v>28.799999999999997</v>
      </c>
      <c r="N54" s="19">
        <f>WORKDAY('00_START'!$B$7-1,(G54-1)*5+1)</f>
        <v>46475.0</v>
      </c>
      <c r="O54" s="19">
        <f>WORKDAY('00_START'!$B$7-1,H54*5)</f>
        <v>46486.0</v>
      </c>
      <c r="P54" s="12" t="inlineStr">
        <is>
          <t>Chưa bắt đầu</t>
        </is>
      </c>
      <c r="Q54" s="20" t="n">
        <v>0</v>
      </c>
      <c r="R54" s="12" t="inlineStr">
        <is>
          <t>Mời/đồng ý/rời; leader UI; mute/report; focus input</t>
        </is>
      </c>
      <c r="S54" s="12" t="inlineStr">
        <is>
          <t>CL-023, CL-024</t>
        </is>
      </c>
    </row>
    <row r="55" ht="31" customHeight="1">
      <c r="A55" s="11" t="inlineStr">
        <is>
          <t>5.3</t>
        </is>
      </c>
      <c r="B55" s="11" t="inlineStr">
        <is>
          <t>T13-SV</t>
        </is>
      </c>
      <c r="C55" s="11" t="inlineStr">
        <is>
          <t>Nội dung multiplayer giới hạn</t>
        </is>
      </c>
      <c r="D55" s="11" t="inlineStr">
        <is>
          <t>Party state và chat có giới hạn</t>
        </is>
      </c>
      <c r="E55" s="11" t="inlineStr">
        <is>
          <t>SV</t>
        </is>
      </c>
      <c r="F55" s="11" t="n">
        <v>13</v>
      </c>
      <c r="G55" s="11" t="n">
        <v>25</v>
      </c>
      <c r="H55" s="11" t="n">
        <v>26</v>
      </c>
      <c r="I55" s="11" t="inlineStr">
        <is>
          <t>T12-SV</t>
        </is>
      </c>
      <c r="J55" s="13" t="n">
        <v>3</v>
      </c>
      <c r="K55" s="14">
        <f>J55*'00_START'!$B$10</f>
        <v>0.6000000000000001</v>
      </c>
      <c r="L55" s="14">
        <f>J55+K55</f>
        <v>3.5999999999999996</v>
      </c>
      <c r="M55" s="14">
        <f>L55*'00_START'!$B$12</f>
        <v>28.799999999999997</v>
      </c>
      <c r="N55" s="15">
        <f>WORKDAY('00_START'!$B$7-1,(G55-1)*5+1)</f>
        <v>46475.0</v>
      </c>
      <c r="O55" s="15">
        <f>WORKDAY('00_START'!$B$7-1,H55*5)</f>
        <v>46486.0</v>
      </c>
      <c r="P55" s="11" t="inlineStr">
        <is>
          <t>Chưa bắt đầu</t>
        </is>
      </c>
      <c r="Q55" s="16" t="n">
        <v>0</v>
      </c>
      <c r="R55" s="11" t="inlineStr">
        <is>
          <t>Membership; invite TTL; rate limit; server recipient filter</t>
        </is>
      </c>
      <c r="S55" s="11" t="inlineStr">
        <is>
          <t>CL-023, CL-024, SV-013</t>
        </is>
      </c>
    </row>
    <row r="56" ht="31" customHeight="1">
      <c r="A56" s="12" t="inlineStr">
        <is>
          <t>5.4</t>
        </is>
      </c>
      <c r="B56" s="12" t="inlineStr">
        <is>
          <t>T13-AR</t>
        </is>
      </c>
      <c r="C56" s="12" t="inlineStr">
        <is>
          <t>Nội dung multiplayer giới hạn</t>
        </is>
      </c>
      <c r="D56" s="12" t="inlineStr">
        <is>
          <t>Sprite boss và quái tinh anh</t>
        </is>
      </c>
      <c r="E56" s="12" t="inlineStr">
        <is>
          <t>AR</t>
        </is>
      </c>
      <c r="F56" s="12" t="n">
        <v>13</v>
      </c>
      <c r="G56" s="12" t="n">
        <v>25</v>
      </c>
      <c r="H56" s="12" t="n">
        <v>26</v>
      </c>
      <c r="I56" s="12" t="inlineStr">
        <is>
          <t>T12-AR</t>
        </is>
      </c>
      <c r="J56" s="17" t="n">
        <v>3</v>
      </c>
      <c r="K56" s="18">
        <f>J56*'00_START'!$B$10</f>
        <v>0.6000000000000001</v>
      </c>
      <c r="L56" s="18">
        <f>J56+K56</f>
        <v>3.5999999999999996</v>
      </c>
      <c r="M56" s="18">
        <f>L56*'00_START'!$B$12</f>
        <v>28.799999999999997</v>
      </c>
      <c r="N56" s="19">
        <f>WORKDAY('00_START'!$B$7-1,(G56-1)*5+1)</f>
        <v>46475.0</v>
      </c>
      <c r="O56" s="19">
        <f>WORKDAY('00_START'!$B$7-1,H56*5)</f>
        <v>46486.0</v>
      </c>
      <c r="P56" s="12" t="inlineStr">
        <is>
          <t>Chưa bắt đầu</t>
        </is>
      </c>
      <c r="Q56" s="20" t="n">
        <v>0</v>
      </c>
      <c r="R56" s="12" t="inlineStr">
        <is>
          <t>1 boss/2 elite biến thể; windup/attack/death</t>
        </is>
      </c>
      <c r="S56" s="12" t="inlineStr"/>
    </row>
    <row r="57" ht="31" customHeight="1">
      <c r="A57" s="11" t="inlineStr">
        <is>
          <t>5.5</t>
        </is>
      </c>
      <c r="B57" s="11" t="inlineStr">
        <is>
          <t>T14-GD</t>
        </is>
      </c>
      <c r="C57" s="11" t="inlineStr">
        <is>
          <t>Nội dung multiplayer giới hạn</t>
        </is>
      </c>
      <c r="D57" s="11" t="inlineStr">
        <is>
          <t>Kiểm thử phụ bản và reward chống lặp</t>
        </is>
      </c>
      <c r="E57" s="11" t="inlineStr">
        <is>
          <t>GD</t>
        </is>
      </c>
      <c r="F57" s="11" t="n">
        <v>14</v>
      </c>
      <c r="G57" s="11" t="n">
        <v>27</v>
      </c>
      <c r="H57" s="11" t="n">
        <v>28</v>
      </c>
      <c r="I57" s="11" t="inlineStr">
        <is>
          <t>T13-GD, T13-CL, T13-SV</t>
        </is>
      </c>
      <c r="J57" s="13" t="n">
        <v>2.5</v>
      </c>
      <c r="K57" s="14">
        <f>J57*'00_START'!$B$10</f>
        <v>0.5</v>
      </c>
      <c r="L57" s="14">
        <f>J57+K57</f>
        <v>3.0</v>
      </c>
      <c r="M57" s="14">
        <f>L57*'00_START'!$B$12</f>
        <v>24.0</v>
      </c>
      <c r="N57" s="15">
        <f>WORKDAY('00_START'!$B$7-1,(G57-1)*5+1)</f>
        <v>46489.0</v>
      </c>
      <c r="O57" s="15">
        <f>WORKDAY('00_START'!$B$7-1,H57*5)</f>
        <v>46500.0</v>
      </c>
      <c r="P57" s="11" t="inlineStr">
        <is>
          <t>Chưa bắt đầu</t>
        </is>
      </c>
      <c r="Q57" s="16" t="n">
        <v>0</v>
      </c>
      <c r="R57" s="11" t="inlineStr">
        <is>
          <t>10 run đủ/thất bại/disconnect; ledger cá nhân</t>
        </is>
      </c>
      <c r="S57" s="11" t="inlineStr"/>
    </row>
    <row r="58" ht="31" customHeight="1">
      <c r="A58" s="12" t="inlineStr">
        <is>
          <t>5.6</t>
        </is>
      </c>
      <c r="B58" s="12" t="inlineStr">
        <is>
          <t>T14-CL</t>
        </is>
      </c>
      <c r="C58" s="12" t="inlineStr">
        <is>
          <t>Nội dung multiplayer giới hạn</t>
        </is>
      </c>
      <c r="D58" s="12" t="inlineStr">
        <is>
          <t>Phụ bản và boss UI/telegraph</t>
        </is>
      </c>
      <c r="E58" s="12" t="inlineStr">
        <is>
          <t>CL</t>
        </is>
      </c>
      <c r="F58" s="12" t="n">
        <v>14</v>
      </c>
      <c r="G58" s="12" t="n">
        <v>27</v>
      </c>
      <c r="H58" s="12" t="n">
        <v>28</v>
      </c>
      <c r="I58" s="12" t="inlineStr">
        <is>
          <t>T13-CL, T13-AR</t>
        </is>
      </c>
      <c r="J58" s="17" t="n">
        <v>3</v>
      </c>
      <c r="K58" s="18">
        <f>J58*'00_START'!$B$10</f>
        <v>0.6000000000000001</v>
      </c>
      <c r="L58" s="18">
        <f>J58+K58</f>
        <v>3.5999999999999996</v>
      </c>
      <c r="M58" s="18">
        <f>L58*'00_START'!$B$12</f>
        <v>28.799999999999997</v>
      </c>
      <c r="N58" s="19">
        <f>WORKDAY('00_START'!$B$7-1,(G58-1)*5+1)</f>
        <v>46489.0</v>
      </c>
      <c r="O58" s="19">
        <f>WORKDAY('00_START'!$B$7-1,H58*5)</f>
        <v>46500.0</v>
      </c>
      <c r="P58" s="12" t="inlineStr">
        <is>
          <t>Chưa bắt đầu</t>
        </is>
      </c>
      <c r="Q58" s="20" t="n">
        <v>0</v>
      </c>
      <c r="R58" s="12" t="inlineStr">
        <is>
          <t>Entry vote, boss HP, kết quả; AoE dễ đọc</t>
        </is>
      </c>
      <c r="S58" s="12" t="inlineStr">
        <is>
          <t>CL-025</t>
        </is>
      </c>
    </row>
    <row r="59" ht="31" customHeight="1">
      <c r="A59" s="11" t="inlineStr">
        <is>
          <t>5.7</t>
        </is>
      </c>
      <c r="B59" s="11" t="inlineStr">
        <is>
          <t>T14-SV</t>
        </is>
      </c>
      <c r="C59" s="11" t="inlineStr">
        <is>
          <t>Nội dung multiplayer giới hạn</t>
        </is>
      </c>
      <c r="D59" s="11" t="inlineStr">
        <is>
          <t>Dungeon instance, boss và personal reward</t>
        </is>
      </c>
      <c r="E59" s="11" t="inlineStr">
        <is>
          <t>SV</t>
        </is>
      </c>
      <c r="F59" s="11" t="n">
        <v>14</v>
      </c>
      <c r="G59" s="11" t="n">
        <v>27</v>
      </c>
      <c r="H59" s="11" t="n">
        <v>28</v>
      </c>
      <c r="I59" s="11" t="inlineStr">
        <is>
          <t>T13-SV</t>
        </is>
      </c>
      <c r="J59" s="13" t="n">
        <v>3</v>
      </c>
      <c r="K59" s="14">
        <f>J59*'00_START'!$B$10</f>
        <v>0.6000000000000001</v>
      </c>
      <c r="L59" s="14">
        <f>J59+K59</f>
        <v>3.5999999999999996</v>
      </c>
      <c r="M59" s="14">
        <f>L59*'00_START'!$B$12</f>
        <v>28.799999999999997</v>
      </c>
      <c r="N59" s="15">
        <f>WORKDAY('00_START'!$B$7-1,(G59-1)*5+1)</f>
        <v>46489.0</v>
      </c>
      <c r="O59" s="15">
        <f>WORKDAY('00_START'!$B$7-1,H59*5)</f>
        <v>46500.0</v>
      </c>
      <c r="P59" s="11" t="inlineStr">
        <is>
          <t>Chưa bắt đầu</t>
        </is>
      </c>
      <c r="Q59" s="16" t="n">
        <v>0</v>
      </c>
      <c r="R59" s="11" t="inlineStr">
        <is>
          <t>3 người/15 phút; boss 2 pattern; run ID; cleanup</t>
        </is>
      </c>
      <c r="S59" s="11" t="inlineStr">
        <is>
          <t>CL-025, SV-014</t>
        </is>
      </c>
    </row>
    <row r="60" ht="31" customHeight="1">
      <c r="A60" s="12" t="inlineStr">
        <is>
          <t>5.8</t>
        </is>
      </c>
      <c r="B60" s="12" t="inlineStr">
        <is>
          <t>T14-AR</t>
        </is>
      </c>
      <c r="C60" s="12" t="inlineStr">
        <is>
          <t>Nội dung multiplayer giới hạn</t>
        </is>
      </c>
      <c r="D60" s="12" t="inlineStr">
        <is>
          <t>Boss VFX, dungeon props và âm thanh</t>
        </is>
      </c>
      <c r="E60" s="12" t="inlineStr">
        <is>
          <t>AR</t>
        </is>
      </c>
      <c r="F60" s="12" t="n">
        <v>14</v>
      </c>
      <c r="G60" s="12" t="n">
        <v>27</v>
      </c>
      <c r="H60" s="12" t="n">
        <v>28</v>
      </c>
      <c r="I60" s="12" t="inlineStr">
        <is>
          <t>T13-AR</t>
        </is>
      </c>
      <c r="J60" s="17" t="n">
        <v>2.5</v>
      </c>
      <c r="K60" s="18">
        <f>J60*'00_START'!$B$10</f>
        <v>0.5</v>
      </c>
      <c r="L60" s="18">
        <f>J60+K60</f>
        <v>3.0</v>
      </c>
      <c r="M60" s="18">
        <f>L60*'00_START'!$B$12</f>
        <v>24.0</v>
      </c>
      <c r="N60" s="19">
        <f>WORKDAY('00_START'!$B$7-1,(G60-1)*5+1)</f>
        <v>46489.0</v>
      </c>
      <c r="O60" s="19">
        <f>WORKDAY('00_START'!$B$7-1,H60*5)</f>
        <v>46500.0</v>
      </c>
      <c r="P60" s="12" t="inlineStr">
        <is>
          <t>Chưa bắt đầu</t>
        </is>
      </c>
      <c r="Q60" s="20" t="n">
        <v>0</v>
      </c>
      <c r="R60" s="12" t="inlineStr">
        <is>
          <t>2 telegraph boss; ambient dùng lại; music mute</t>
        </is>
      </c>
      <c r="S60" s="12" t="inlineStr"/>
    </row>
    <row r="61" ht="31" customHeight="1">
      <c r="A61" s="11" t="inlineStr">
        <is>
          <t>5.9</t>
        </is>
      </c>
      <c r="B61" s="11" t="inlineStr">
        <is>
          <t>T15-GD</t>
        </is>
      </c>
      <c r="C61" s="11" t="inlineStr">
        <is>
          <t>Nội dung multiplayer giới hạn</t>
        </is>
      </c>
      <c r="D61" s="11" t="inlineStr">
        <is>
          <t>Gate G4 — multiplayer và PvP</t>
        </is>
      </c>
      <c r="E61" s="11" t="inlineStr">
        <is>
          <t>GD</t>
        </is>
      </c>
      <c r="F61" s="11" t="n">
        <v>15</v>
      </c>
      <c r="G61" s="11" t="n">
        <v>29</v>
      </c>
      <c r="H61" s="11" t="n">
        <v>30</v>
      </c>
      <c r="I61" s="11" t="inlineStr">
        <is>
          <t>T14-GD, T14-CL, T14-SV</t>
        </is>
      </c>
      <c r="J61" s="13" t="n">
        <v>2.5</v>
      </c>
      <c r="K61" s="14">
        <f>J61*'00_START'!$B$10</f>
        <v>0.5</v>
      </c>
      <c r="L61" s="14">
        <f>J61+K61</f>
        <v>3.0</v>
      </c>
      <c r="M61" s="14">
        <f>L61*'00_START'!$B$12</f>
        <v>24.0</v>
      </c>
      <c r="N61" s="15">
        <f>WORKDAY('00_START'!$B$7-1,(G61-1)*5+1)</f>
        <v>46503.0</v>
      </c>
      <c r="O61" s="15">
        <f>WORKDAY('00_START'!$B$7-1,H61*5)</f>
        <v>46514.0</v>
      </c>
      <c r="P61" s="11" t="inlineStr">
        <is>
          <t>Chưa bắt đầu</t>
        </is>
      </c>
      <c r="Q61" s="16" t="n">
        <v>0</v>
      </c>
      <c r="R61" s="11" t="inlineStr">
        <is>
          <t>Party 3; dungeon; 1v1; quyết định cắt phạm vi nếu trễ</t>
        </is>
      </c>
      <c r="S61" s="11" t="inlineStr"/>
    </row>
    <row r="62" ht="31" customHeight="1">
      <c r="A62" s="12" t="inlineStr">
        <is>
          <t>5.10</t>
        </is>
      </c>
      <c r="B62" s="12" t="inlineStr">
        <is>
          <t>T15-CL</t>
        </is>
      </c>
      <c r="C62" s="12" t="inlineStr">
        <is>
          <t>Nội dung multiplayer giới hạn</t>
        </is>
      </c>
      <c r="D62" s="12" t="inlineStr">
        <is>
          <t>Đấu tay đôi opt-in và kết quả</t>
        </is>
      </c>
      <c r="E62" s="12" t="inlineStr">
        <is>
          <t>CL</t>
        </is>
      </c>
      <c r="F62" s="12" t="n">
        <v>15</v>
      </c>
      <c r="G62" s="12" t="n">
        <v>29</v>
      </c>
      <c r="H62" s="12" t="n">
        <v>30</v>
      </c>
      <c r="I62" s="12" t="inlineStr">
        <is>
          <t>T14-CL</t>
        </is>
      </c>
      <c r="J62" s="17" t="n">
        <v>3</v>
      </c>
      <c r="K62" s="18">
        <f>J62*'00_START'!$B$10</f>
        <v>0.6000000000000001</v>
      </c>
      <c r="L62" s="18">
        <f>J62+K62</f>
        <v>3.5999999999999996</v>
      </c>
      <c r="M62" s="18">
        <f>L62*'00_START'!$B$12</f>
        <v>28.799999999999997</v>
      </c>
      <c r="N62" s="19">
        <f>WORKDAY('00_START'!$B$7-1,(G62-1)*5+1)</f>
        <v>46503.0</v>
      </c>
      <c r="O62" s="19">
        <f>WORKDAY('00_START'!$B$7-1,H62*5)</f>
        <v>46514.0</v>
      </c>
      <c r="P62" s="12" t="inlineStr">
        <is>
          <t>Chưa bắt đầu</t>
        </is>
      </c>
      <c r="Q62" s="20" t="n">
        <v>0</v>
      </c>
      <c r="R62" s="12" t="inlineStr">
        <is>
          <t>Invite/ready/countdown/result; quay lại safe spawn</t>
        </is>
      </c>
      <c r="S62" s="12" t="inlineStr">
        <is>
          <t>CL-026</t>
        </is>
      </c>
    </row>
    <row r="63" ht="31" customHeight="1">
      <c r="A63" s="11" t="inlineStr">
        <is>
          <t>5.11</t>
        </is>
      </c>
      <c r="B63" s="11" t="inlineStr">
        <is>
          <t>T15-SV</t>
        </is>
      </c>
      <c r="C63" s="11" t="inlineStr">
        <is>
          <t>Nội dung multiplayer giới hạn</t>
        </is>
      </c>
      <c r="D63" s="11" t="inlineStr">
        <is>
          <t>Arena PvP, timer và disconnect policy</t>
        </is>
      </c>
      <c r="E63" s="11" t="inlineStr">
        <is>
          <t>SV</t>
        </is>
      </c>
      <c r="F63" s="11" t="n">
        <v>15</v>
      </c>
      <c r="G63" s="11" t="n">
        <v>29</v>
      </c>
      <c r="H63" s="11" t="n">
        <v>30</v>
      </c>
      <c r="I63" s="11" t="inlineStr">
        <is>
          <t>T14-SV</t>
        </is>
      </c>
      <c r="J63" s="13" t="n">
        <v>3</v>
      </c>
      <c r="K63" s="14">
        <f>J63*'00_START'!$B$10</f>
        <v>0.6000000000000001</v>
      </c>
      <c r="L63" s="14">
        <f>J63+K63</f>
        <v>3.5999999999999996</v>
      </c>
      <c r="M63" s="14">
        <f>L63*'00_START'!$B$12</f>
        <v>28.799999999999997</v>
      </c>
      <c r="N63" s="15">
        <f>WORKDAY('00_START'!$B$7-1,(G63-1)*5+1)</f>
        <v>46503.0</v>
      </c>
      <c r="O63" s="15">
        <f>WORKDAY('00_START'!$B$7-1,H63*5)</f>
        <v>46514.0</v>
      </c>
      <c r="P63" s="11" t="inlineStr">
        <is>
          <t>Chưa bắt đầu</t>
        </is>
      </c>
      <c r="Q63" s="16" t="n">
        <v>0</v>
      </c>
      <c r="R63" s="11" t="inlineStr">
        <is>
          <t>Two opt-ins; PvP damage factor; no reward farming</t>
        </is>
      </c>
      <c r="S63" s="11" t="inlineStr">
        <is>
          <t>CL-026, SV-014</t>
        </is>
      </c>
    </row>
    <row r="64" ht="31" customHeight="1">
      <c r="A64" s="12" t="inlineStr">
        <is>
          <t>5.12</t>
        </is>
      </c>
      <c r="B64" s="12" t="inlineStr">
        <is>
          <t>T15-AR</t>
        </is>
      </c>
      <c r="C64" s="12" t="inlineStr">
        <is>
          <t>Nội dung multiplayer giới hạn</t>
        </is>
      </c>
      <c r="D64" s="12" t="inlineStr">
        <is>
          <t>Arena/UI social và độ đọc hình</t>
        </is>
      </c>
      <c r="E64" s="12" t="inlineStr">
        <is>
          <t>AR</t>
        </is>
      </c>
      <c r="F64" s="12" t="n">
        <v>15</v>
      </c>
      <c r="G64" s="12" t="n">
        <v>29</v>
      </c>
      <c r="H64" s="12" t="n">
        <v>30</v>
      </c>
      <c r="I64" s="12" t="inlineStr">
        <is>
          <t>T14-AR</t>
        </is>
      </c>
      <c r="J64" s="17" t="n">
        <v>2</v>
      </c>
      <c r="K64" s="18">
        <f>J64*'00_START'!$B$10</f>
        <v>0.4</v>
      </c>
      <c r="L64" s="18">
        <f>J64+K64</f>
        <v>2.4</v>
      </c>
      <c r="M64" s="18">
        <f>L64*'00_START'!$B$12</f>
        <v>19.2</v>
      </c>
      <c r="N64" s="19">
        <f>WORKDAY('00_START'!$B$7-1,(G64-1)*5+1)</f>
        <v>46503.0</v>
      </c>
      <c r="O64" s="19">
        <f>WORKDAY('00_START'!$B$7-1,H64*5)</f>
        <v>46514.0</v>
      </c>
      <c r="P64" s="12" t="inlineStr">
        <is>
          <t>Chưa bắt đầu</t>
        </is>
      </c>
      <c r="Q64" s="20" t="n">
        <v>0</v>
      </c>
      <c r="R64" s="12" t="inlineStr">
        <is>
          <t>Arena từ tileset có sẵn; silhouette/telegraph/party colors</t>
        </is>
      </c>
      <c r="S64" s="12" t="inlineStr"/>
    </row>
    <row r="65" ht="31" customHeight="1">
      <c r="A65" s="11" t="inlineStr">
        <is>
          <t>6.1</t>
        </is>
      </c>
      <c r="B65" s="11" t="inlineStr">
        <is>
          <t>T16-GD</t>
        </is>
      </c>
      <c r="C65" s="11" t="inlineStr">
        <is>
          <t>Ổn định và closed alpha</t>
        </is>
      </c>
      <c r="D65" s="11" t="inlineStr">
        <is>
          <t>Feature freeze, UAT plan và hướng dẫn tester</t>
        </is>
      </c>
      <c r="E65" s="11" t="inlineStr">
        <is>
          <t>GD</t>
        </is>
      </c>
      <c r="F65" s="11" t="n">
        <v>16</v>
      </c>
      <c r="G65" s="11" t="n">
        <v>31</v>
      </c>
      <c r="H65" s="11" t="n">
        <v>32</v>
      </c>
      <c r="I65" s="11" t="inlineStr">
        <is>
          <t>T15-GD, T15-CL, T15-SV</t>
        </is>
      </c>
      <c r="J65" s="13" t="n">
        <v>3</v>
      </c>
      <c r="K65" s="14">
        <f>J65*'00_START'!$B$10</f>
        <v>0.6000000000000001</v>
      </c>
      <c r="L65" s="14">
        <f>J65+K65</f>
        <v>3.5999999999999996</v>
      </c>
      <c r="M65" s="14">
        <f>L65*'00_START'!$B$12</f>
        <v>28.799999999999997</v>
      </c>
      <c r="N65" s="15">
        <f>WORKDAY('00_START'!$B$7-1,(G65-1)*5+1)</f>
        <v>46517.0</v>
      </c>
      <c r="O65" s="15">
        <f>WORKDAY('00_START'!$B$7-1,H65*5)</f>
        <v>46528.0</v>
      </c>
      <c r="P65" s="11" t="inlineStr">
        <is>
          <t>Chưa bắt đầu</t>
        </is>
      </c>
      <c r="Q65" s="16" t="n">
        <v>0</v>
      </c>
      <c r="R65" s="11" t="inlineStr">
        <is>
          <t>Traceability đóng; check list NFR; test accounts/instructions</t>
        </is>
      </c>
      <c r="S65" s="11" t="inlineStr">
        <is>
          <t>CL-029</t>
        </is>
      </c>
    </row>
    <row r="66" ht="31" customHeight="1">
      <c r="A66" s="12" t="inlineStr">
        <is>
          <t>6.2</t>
        </is>
      </c>
      <c r="B66" s="12" t="inlineStr">
        <is>
          <t>T16-CL</t>
        </is>
      </c>
      <c r="C66" s="12" t="inlineStr">
        <is>
          <t>Ổn định và closed alpha</t>
        </is>
      </c>
      <c r="D66" s="12" t="inlineStr">
        <is>
          <t>Admin UI tối thiểu và settings client</t>
        </is>
      </c>
      <c r="E66" s="12" t="inlineStr">
        <is>
          <t>CL</t>
        </is>
      </c>
      <c r="F66" s="12" t="n">
        <v>16</v>
      </c>
      <c r="G66" s="12" t="n">
        <v>31</v>
      </c>
      <c r="H66" s="12" t="n">
        <v>32</v>
      </c>
      <c r="I66" s="12" t="inlineStr">
        <is>
          <t>T15-CL</t>
        </is>
      </c>
      <c r="J66" s="17" t="n">
        <v>3</v>
      </c>
      <c r="K66" s="18">
        <f>J66*'00_START'!$B$10</f>
        <v>0.6000000000000001</v>
      </c>
      <c r="L66" s="18">
        <f>J66+K66</f>
        <v>3.5999999999999996</v>
      </c>
      <c r="M66" s="18">
        <f>L66*'00_START'!$B$12</f>
        <v>28.799999999999997</v>
      </c>
      <c r="N66" s="19">
        <f>WORKDAY('00_START'!$B$7-1,(G66-1)*5+1)</f>
        <v>46517.0</v>
      </c>
      <c r="O66" s="19">
        <f>WORKDAY('00_START'!$B$7-1,H66*5)</f>
        <v>46528.0</v>
      </c>
      <c r="P66" s="12" t="inlineStr">
        <is>
          <t>Chưa bắt đầu</t>
        </is>
      </c>
      <c r="Q66" s="20" t="n">
        <v>0</v>
      </c>
      <c r="R66" s="12" t="inlineStr">
        <is>
          <t>GM tra cứu/read-only; âm lượng/phím/đồ họa; role guard</t>
        </is>
      </c>
      <c r="S66" s="12" t="inlineStr">
        <is>
          <t>CL-028, AD-001, AD-002, AD-003, AD-004, AD-006</t>
        </is>
      </c>
    </row>
    <row r="67" ht="39" customHeight="1">
      <c r="A67" s="11" t="inlineStr">
        <is>
          <t>6.3</t>
        </is>
      </c>
      <c r="B67" s="11" t="inlineStr">
        <is>
          <t>T16-SV</t>
        </is>
      </c>
      <c r="C67" s="11" t="inlineStr">
        <is>
          <t>Ổn định và closed alpha</t>
        </is>
      </c>
      <c r="D67" s="11" t="inlineStr">
        <is>
          <t>GM API, audit, metrics và backup jobs</t>
        </is>
      </c>
      <c r="E67" s="11" t="inlineStr">
        <is>
          <t>SV</t>
        </is>
      </c>
      <c r="F67" s="11" t="n">
        <v>16</v>
      </c>
      <c r="G67" s="11" t="n">
        <v>31</v>
      </c>
      <c r="H67" s="11" t="n">
        <v>32</v>
      </c>
      <c r="I67" s="11" t="inlineStr">
        <is>
          <t>T15-SV</t>
        </is>
      </c>
      <c r="J67" s="13" t="n">
        <v>3</v>
      </c>
      <c r="K67" s="14">
        <f>J67*'00_START'!$B$10</f>
        <v>0.6000000000000001</v>
      </c>
      <c r="L67" s="14">
        <f>J67+K67</f>
        <v>3.5999999999999996</v>
      </c>
      <c r="M67" s="14">
        <f>L67*'00_START'!$B$12</f>
        <v>28.799999999999997</v>
      </c>
      <c r="N67" s="15">
        <f>WORKDAY('00_START'!$B$7-1,(G67-1)*5+1)</f>
        <v>46517.0</v>
      </c>
      <c r="O67" s="15">
        <f>WORKDAY('00_START'!$B$7-1,H67*5)</f>
        <v>46528.0</v>
      </c>
      <c r="P67" s="11" t="inlineStr">
        <is>
          <t>Chưa bắt đầu</t>
        </is>
      </c>
      <c r="Q67" s="16" t="n">
        <v>0</v>
      </c>
      <c r="R67" s="11" t="inlineStr">
        <is>
          <t>RBAC/mute/ban/grant; config publish; daily snapshot</t>
        </is>
      </c>
      <c r="S67" s="11" t="inlineStr">
        <is>
          <t>CL-024, SV-013, SV-015, SV-016, SV-017, AD-001, AD-002, AD-003, AD-004, AD-005, AD-006, AD-007</t>
        </is>
      </c>
    </row>
    <row r="68" ht="31" customHeight="1">
      <c r="A68" s="12" t="inlineStr">
        <is>
          <t>6.4</t>
        </is>
      </c>
      <c r="B68" s="12" t="inlineStr">
        <is>
          <t>T16-AR</t>
        </is>
      </c>
      <c r="C68" s="12" t="inlineStr">
        <is>
          <t>Ổn định và closed alpha</t>
        </is>
      </c>
      <c r="D68" s="12" t="inlineStr">
        <is>
          <t>Polish HUD, feed back và asset audit</t>
        </is>
      </c>
      <c r="E68" s="12" t="inlineStr">
        <is>
          <t>AR</t>
        </is>
      </c>
      <c r="F68" s="12" t="n">
        <v>16</v>
      </c>
      <c r="G68" s="12" t="n">
        <v>31</v>
      </c>
      <c r="H68" s="12" t="n">
        <v>32</v>
      </c>
      <c r="I68" s="12" t="inlineStr">
        <is>
          <t>T15-AR</t>
        </is>
      </c>
      <c r="J68" s="17" t="n">
        <v>2.5</v>
      </c>
      <c r="K68" s="18">
        <f>J68*'00_START'!$B$10</f>
        <v>0.5</v>
      </c>
      <c r="L68" s="18">
        <f>J68+K68</f>
        <v>3.0</v>
      </c>
      <c r="M68" s="18">
        <f>L68*'00_START'!$B$12</f>
        <v>24.0</v>
      </c>
      <c r="N68" s="19">
        <f>WORKDAY('00_START'!$B$7-1,(G68-1)*5+1)</f>
        <v>46517.0</v>
      </c>
      <c r="O68" s="19">
        <f>WORKDAY('00_START'!$B$7-1,H68*5)</f>
        <v>46528.0</v>
      </c>
      <c r="P68" s="12" t="inlineStr">
        <is>
          <t>Chưa bắt đầu</t>
        </is>
      </c>
      <c r="Q68" s="20" t="n">
        <v>0</v>
      </c>
      <c r="R68" s="12" t="inlineStr">
        <is>
          <t>UI thống nhất; lỗi/thành công; file và nguồn asset đầy đủ</t>
        </is>
      </c>
      <c r="S68" s="12" t="inlineStr">
        <is>
          <t>CL-028</t>
        </is>
      </c>
    </row>
    <row r="69" ht="31" customHeight="1">
      <c r="A69" s="11" t="inlineStr">
        <is>
          <t>6.5</t>
        </is>
      </c>
      <c r="B69" s="11" t="inlineStr">
        <is>
          <t>T17-GD</t>
        </is>
      </c>
      <c r="C69" s="11" t="inlineStr">
        <is>
          <t>Ổn định và closed alpha</t>
        </is>
      </c>
      <c r="D69" s="11" t="inlineStr">
        <is>
          <t>UAT, soak test phối hợp và phân loại lỗi</t>
        </is>
      </c>
      <c r="E69" s="11" t="inlineStr">
        <is>
          <t>GD</t>
        </is>
      </c>
      <c r="F69" s="11" t="n">
        <v>17</v>
      </c>
      <c r="G69" s="11" t="n">
        <v>33</v>
      </c>
      <c r="H69" s="11" t="n">
        <v>34</v>
      </c>
      <c r="I69" s="11" t="inlineStr">
        <is>
          <t>T16-GD, T16-CL, T16-SV</t>
        </is>
      </c>
      <c r="J69" s="13" t="n">
        <v>3</v>
      </c>
      <c r="K69" s="14">
        <f>J69*'00_START'!$B$10</f>
        <v>0.6000000000000001</v>
      </c>
      <c r="L69" s="14">
        <f>J69+K69</f>
        <v>3.5999999999999996</v>
      </c>
      <c r="M69" s="14">
        <f>L69*'00_START'!$B$12</f>
        <v>28.799999999999997</v>
      </c>
      <c r="N69" s="15">
        <f>WORKDAY('00_START'!$B$7-1,(G69-1)*5+1)</f>
        <v>46531.0</v>
      </c>
      <c r="O69" s="15">
        <f>WORKDAY('00_START'!$B$7-1,H69*5)</f>
        <v>46542.0</v>
      </c>
      <c r="P69" s="11" t="inlineStr">
        <is>
          <t>Chưa bắt đầu</t>
        </is>
      </c>
      <c r="Q69" s="16" t="n">
        <v>0</v>
      </c>
      <c r="R69" s="11" t="inlineStr">
        <is>
          <t>20 tester; 50 bots/2 giờ; 3 build; lỗi P0/P1 về 0</t>
        </is>
      </c>
      <c r="S69" s="11" t="inlineStr"/>
    </row>
    <row r="70" ht="31" customHeight="1">
      <c r="A70" s="12" t="inlineStr">
        <is>
          <t>6.6</t>
        </is>
      </c>
      <c r="B70" s="12" t="inlineStr">
        <is>
          <t>T17-CL</t>
        </is>
      </c>
      <c r="C70" s="12" t="inlineStr">
        <is>
          <t>Ổn định và closed alpha</t>
        </is>
      </c>
      <c r="D70" s="12" t="inlineStr">
        <is>
          <t>Tối ưu client và sửa lỗi UAT</t>
        </is>
      </c>
      <c r="E70" s="12" t="inlineStr">
        <is>
          <t>CL</t>
        </is>
      </c>
      <c r="F70" s="12" t="n">
        <v>17</v>
      </c>
      <c r="G70" s="12" t="n">
        <v>33</v>
      </c>
      <c r="H70" s="12" t="n">
        <v>34</v>
      </c>
      <c r="I70" s="12" t="inlineStr">
        <is>
          <t>T16-CL</t>
        </is>
      </c>
      <c r="J70" s="17" t="n">
        <v>3</v>
      </c>
      <c r="K70" s="18">
        <f>J70*'00_START'!$B$10</f>
        <v>0.6000000000000001</v>
      </c>
      <c r="L70" s="18">
        <f>J70+K70</f>
        <v>3.5999999999999996</v>
      </c>
      <c r="M70" s="18">
        <f>L70*'00_START'!$B$12</f>
        <v>28.799999999999997</v>
      </c>
      <c r="N70" s="19">
        <f>WORKDAY('00_START'!$B$7-1,(G70-1)*5+1)</f>
        <v>46531.0</v>
      </c>
      <c r="O70" s="19">
        <f>WORKDAY('00_START'!$B$7-1,H70*5)</f>
        <v>46542.0</v>
      </c>
      <c r="P70" s="12" t="inlineStr">
        <is>
          <t>Chưa bắt đầu</t>
        </is>
      </c>
      <c r="Q70" s="20" t="n">
        <v>0</v>
      </c>
      <c r="R70" s="12" t="inlineStr">
        <is>
          <t>FPS p95 frame time; asset budget; Windows matrix và Web spike</t>
        </is>
      </c>
      <c r="S70" s="12" t="inlineStr"/>
    </row>
    <row r="71" ht="31" customHeight="1">
      <c r="A71" s="11" t="inlineStr">
        <is>
          <t>6.7</t>
        </is>
      </c>
      <c r="B71" s="11" t="inlineStr">
        <is>
          <t>T17-SV</t>
        </is>
      </c>
      <c r="C71" s="11" t="inlineStr">
        <is>
          <t>Ổn định và closed alpha</t>
        </is>
      </c>
      <c r="D71" s="11" t="inlineStr">
        <is>
          <t>Load/fault/security và tối ưu server</t>
        </is>
      </c>
      <c r="E71" s="11" t="inlineStr">
        <is>
          <t>SV</t>
        </is>
      </c>
      <c r="F71" s="11" t="n">
        <v>17</v>
      </c>
      <c r="G71" s="11" t="n">
        <v>33</v>
      </c>
      <c r="H71" s="11" t="n">
        <v>34</v>
      </c>
      <c r="I71" s="11" t="inlineStr">
        <is>
          <t>T16-SV</t>
        </is>
      </c>
      <c r="J71" s="13" t="n">
        <v>3</v>
      </c>
      <c r="K71" s="14">
        <f>J71*'00_START'!$B$10</f>
        <v>0.6000000000000001</v>
      </c>
      <c r="L71" s="14">
        <f>J71+K71</f>
        <v>3.5999999999999996</v>
      </c>
      <c r="M71" s="14">
        <f>L71*'00_START'!$B$12</f>
        <v>28.799999999999997</v>
      </c>
      <c r="N71" s="15">
        <f>WORKDAY('00_START'!$B$7-1,(G71-1)*5+1)</f>
        <v>46531.0</v>
      </c>
      <c r="O71" s="15">
        <f>WORKDAY('00_START'!$B$7-1,H71*5)</f>
        <v>46542.0</v>
      </c>
      <c r="P71" s="11" t="inlineStr">
        <is>
          <t>Chưa bắt đầu</t>
        </is>
      </c>
      <c r="Q71" s="16" t="n">
        <v>0</v>
      </c>
      <c r="R71" s="11" t="inlineStr">
        <is>
          <t>50 CCU toàn shard/20 map; duplicate, kill/restart, expiry</t>
        </is>
      </c>
      <c r="S71" s="11" t="inlineStr">
        <is>
          <t>SV-016, SV-018</t>
        </is>
      </c>
    </row>
    <row r="72" ht="31" customHeight="1">
      <c r="A72" s="12" t="inlineStr">
        <is>
          <t>6.8</t>
        </is>
      </c>
      <c r="B72" s="12" t="inlineStr">
        <is>
          <t>T17-AR</t>
        </is>
      </c>
      <c r="C72" s="12" t="inlineStr">
        <is>
          <t>Ổn định và closed alpha</t>
        </is>
      </c>
      <c r="D72" s="12" t="inlineStr">
        <is>
          <t>Atlas, compression và pass đọc hình</t>
        </is>
      </c>
      <c r="E72" s="12" t="inlineStr">
        <is>
          <t>AR</t>
        </is>
      </c>
      <c r="F72" s="12" t="n">
        <v>17</v>
      </c>
      <c r="G72" s="12" t="n">
        <v>33</v>
      </c>
      <c r="H72" s="12" t="n">
        <v>34</v>
      </c>
      <c r="I72" s="12" t="inlineStr">
        <is>
          <t>T16-AR</t>
        </is>
      </c>
      <c r="J72" s="17" t="n">
        <v>2.5</v>
      </c>
      <c r="K72" s="18">
        <f>J72*'00_START'!$B$10</f>
        <v>0.5</v>
      </c>
      <c r="L72" s="18">
        <f>J72+K72</f>
        <v>3.0</v>
      </c>
      <c r="M72" s="18">
        <f>L72*'00_START'!$B$12</f>
        <v>24.0</v>
      </c>
      <c r="N72" s="19">
        <f>WORKDAY('00_START'!$B$7-1,(G72-1)*5+1)</f>
        <v>46531.0</v>
      </c>
      <c r="O72" s="19">
        <f>WORKDAY('00_START'!$B$7-1,H72*5)</f>
        <v>46542.0</v>
      </c>
      <c r="P72" s="12" t="inlineStr">
        <is>
          <t>Chưa bắt đầu</t>
        </is>
      </c>
      <c r="Q72" s="20" t="n">
        <v>0</v>
      </c>
      <c r="R72" s="12" t="inlineStr">
        <is>
          <t>Đo payload, giảm overdraw; font/contrast/audio review</t>
        </is>
      </c>
      <c r="S72" s="12" t="inlineStr"/>
    </row>
    <row r="73" ht="31" customHeight="1">
      <c r="A73" s="11" t="inlineStr">
        <is>
          <t>6.9</t>
        </is>
      </c>
      <c r="B73" s="11" t="inlineStr">
        <is>
          <t>T18-GD</t>
        </is>
      </c>
      <c r="C73" s="11" t="inlineStr">
        <is>
          <t>Ổn định và closed alpha</t>
        </is>
      </c>
      <c r="D73" s="11" t="inlineStr">
        <is>
          <t>Gate G5 — release check list và alpha report</t>
        </is>
      </c>
      <c r="E73" s="11" t="inlineStr">
        <is>
          <t>GD</t>
        </is>
      </c>
      <c r="F73" s="11" t="n">
        <v>18</v>
      </c>
      <c r="G73" s="11" t="n">
        <v>35</v>
      </c>
      <c r="H73" s="11" t="n">
        <v>36</v>
      </c>
      <c r="I73" s="11" t="inlineStr">
        <is>
          <t>T17-GD, T17-CL, T17-SV, T17-AR</t>
        </is>
      </c>
      <c r="J73" s="13" t="n">
        <v>3</v>
      </c>
      <c r="K73" s="14">
        <f>J73*'00_START'!$B$10</f>
        <v>0.6000000000000001</v>
      </c>
      <c r="L73" s="14">
        <f>J73+K73</f>
        <v>3.5999999999999996</v>
      </c>
      <c r="M73" s="14">
        <f>L73*'00_START'!$B$12</f>
        <v>28.799999999999997</v>
      </c>
      <c r="N73" s="15">
        <f>WORKDAY('00_START'!$B$7-1,(G73-1)*5+1)</f>
        <v>46545.0</v>
      </c>
      <c r="O73" s="15">
        <f>WORKDAY('00_START'!$B$7-1,H73*5)</f>
        <v>46556.0</v>
      </c>
      <c r="P73" s="11" t="inlineStr">
        <is>
          <t>Chưa bắt đầu</t>
        </is>
      </c>
      <c r="Q73" s="16" t="n">
        <v>0</v>
      </c>
      <c r="R73" s="11" t="inlineStr">
        <is>
          <t>NFR/UAT có evidence; lịch beta; go/no-go; báo cáo 7 ngày</t>
        </is>
      </c>
      <c r="S73" s="11" t="inlineStr"/>
    </row>
    <row r="74" ht="31" customHeight="1">
      <c r="A74" s="12" t="inlineStr">
        <is>
          <t>6.10</t>
        </is>
      </c>
      <c r="B74" s="12" t="inlineStr">
        <is>
          <t>T18-CL</t>
        </is>
      </c>
      <c r="C74" s="12" t="inlineStr">
        <is>
          <t>Ổn định và closed alpha</t>
        </is>
      </c>
      <c r="D74" s="12" t="inlineStr">
        <is>
          <t>Release candidate và sửa lỗi phát hành</t>
        </is>
      </c>
      <c r="E74" s="12" t="inlineStr">
        <is>
          <t>CL</t>
        </is>
      </c>
      <c r="F74" s="12" t="n">
        <v>18</v>
      </c>
      <c r="G74" s="12" t="n">
        <v>35</v>
      </c>
      <c r="H74" s="12" t="n">
        <v>36</v>
      </c>
      <c r="I74" s="12" t="inlineStr">
        <is>
          <t>T17-CL</t>
        </is>
      </c>
      <c r="J74" s="17" t="n">
        <v>3</v>
      </c>
      <c r="K74" s="18">
        <f>J74*'00_START'!$B$10</f>
        <v>0.6000000000000001</v>
      </c>
      <c r="L74" s="18">
        <f>J74+K74</f>
        <v>3.5999999999999996</v>
      </c>
      <c r="M74" s="18">
        <f>L74*'00_START'!$B$12</f>
        <v>28.799999999999997</v>
      </c>
      <c r="N74" s="19">
        <f>WORKDAY('00_START'!$B$7-1,(G74-1)*5+1)</f>
        <v>46545.0</v>
      </c>
      <c r="O74" s="19">
        <f>WORKDAY('00_START'!$B$7-1,H74*5)</f>
        <v>46556.0</v>
      </c>
      <c r="P74" s="12" t="inlineStr">
        <is>
          <t>Chưa bắt đầu</t>
        </is>
      </c>
      <c r="Q74" s="20" t="n">
        <v>0</v>
      </c>
      <c r="R74" s="12" t="inlineStr">
        <is>
          <t>Client RC tag; smoke test; known issues; rollback compatible</t>
        </is>
      </c>
      <c r="S74" s="12" t="inlineStr"/>
    </row>
    <row r="75" ht="31" customHeight="1">
      <c r="A75" s="11" t="inlineStr">
        <is>
          <t>6.11</t>
        </is>
      </c>
      <c r="B75" s="11" t="inlineStr">
        <is>
          <t>T18-SV</t>
        </is>
      </c>
      <c r="C75" s="11" t="inlineStr">
        <is>
          <t>Ổn định và closed alpha</t>
        </is>
      </c>
      <c r="D75" s="11" t="inlineStr">
        <is>
          <t>Restore drill, deploy và runbook</t>
        </is>
      </c>
      <c r="E75" s="11" t="inlineStr">
        <is>
          <t>SV</t>
        </is>
      </c>
      <c r="F75" s="11" t="n">
        <v>18</v>
      </c>
      <c r="G75" s="11" t="n">
        <v>35</v>
      </c>
      <c r="H75" s="11" t="n">
        <v>36</v>
      </c>
      <c r="I75" s="11" t="inlineStr">
        <is>
          <t>T17-SV</t>
        </is>
      </c>
      <c r="J75" s="13" t="n">
        <v>3</v>
      </c>
      <c r="K75" s="14">
        <f>J75*'00_START'!$B$10</f>
        <v>0.6000000000000001</v>
      </c>
      <c r="L75" s="14">
        <f>J75+K75</f>
        <v>3.5999999999999996</v>
      </c>
      <c r="M75" s="14">
        <f>L75*'00_START'!$B$12</f>
        <v>28.799999999999997</v>
      </c>
      <c r="N75" s="15">
        <f>WORKDAY('00_START'!$B$7-1,(G75-1)*5+1)</f>
        <v>46545.0</v>
      </c>
      <c r="O75" s="15">
        <f>WORKDAY('00_START'!$B$7-1,H75*5)</f>
        <v>46556.0</v>
      </c>
      <c r="P75" s="11" t="inlineStr">
        <is>
          <t>Chưa bắt đầu</t>
        </is>
      </c>
      <c r="Q75" s="16" t="n">
        <v>0</v>
      </c>
      <c r="R75" s="11" t="inlineStr">
        <is>
          <t>Staging→private alpha; restore đo RPO/RTO; rollback diễn tập</t>
        </is>
      </c>
      <c r="S75" s="11" t="inlineStr">
        <is>
          <t>SV-017, AD-005</t>
        </is>
      </c>
    </row>
    <row r="76" ht="31" customHeight="1">
      <c r="A76" s="12" t="inlineStr">
        <is>
          <t>6.12</t>
        </is>
      </c>
      <c r="B76" s="12" t="inlineStr">
        <is>
          <t>T18-AR</t>
        </is>
      </c>
      <c r="C76" s="12" t="inlineStr">
        <is>
          <t>Ổn định và closed alpha</t>
        </is>
      </c>
      <c r="D76" s="12" t="inlineStr">
        <is>
          <t>Hoàn tất asset và gói giới thiệu alpha</t>
        </is>
      </c>
      <c r="E76" s="12" t="inlineStr">
        <is>
          <t>AR</t>
        </is>
      </c>
      <c r="F76" s="12" t="n">
        <v>18</v>
      </c>
      <c r="G76" s="12" t="n">
        <v>35</v>
      </c>
      <c r="H76" s="12" t="n">
        <v>36</v>
      </c>
      <c r="I76" s="12" t="inlineStr">
        <is>
          <t>T17-AR</t>
        </is>
      </c>
      <c r="J76" s="17" t="n">
        <v>2</v>
      </c>
      <c r="K76" s="18">
        <f>J76*'00_START'!$B$10</f>
        <v>0.4</v>
      </c>
      <c r="L76" s="18">
        <f>J76+K76</f>
        <v>2.4</v>
      </c>
      <c r="M76" s="18">
        <f>L76*'00_START'!$B$12</f>
        <v>19.2</v>
      </c>
      <c r="N76" s="19">
        <f>WORKDAY('00_START'!$B$7-1,(G76-1)*5+1)</f>
        <v>46545.0</v>
      </c>
      <c r="O76" s="19">
        <f>WORKDAY('00_START'!$B$7-1,H76*5)</f>
        <v>46556.0</v>
      </c>
      <c r="P76" s="12" t="inlineStr">
        <is>
          <t>Chưa bắt đầu</t>
        </is>
      </c>
      <c r="Q76" s="20" t="n">
        <v>0</v>
      </c>
      <c r="R76" s="12" t="inlineStr">
        <is>
          <t>Asset manifest, credits; screenshot, hướng dẫn hiển thị</t>
        </is>
      </c>
      <c r="S76" s="12" t="inlineStr"/>
    </row>
  </sheetData>
  <autoFilter ref="A4:S76"/>
  <mergeCells count="2">
    <mergeCell ref="A2:S2"/>
    <mergeCell ref="A1:S1"/>
  </mergeCells>
  <dataValidations count="2">
    <dataValidation sqref="P5:P76" showDropDown="0" showInputMessage="0" showErrorMessage="1" allowBlank="0" errorTitle="Giá trị chưa hợp lệ" error="Chọn một giá trị trong danh sách." type="list">
      <formula1>"Chưa bắt đầu,Đang làm,Đang review,Hoàn thành,Bị chặn,Hoãn"</formula1>
    </dataValidation>
    <dataValidation sqref="Q5:Q76" showDropDown="0" showInputMessage="0" showErrorMessage="1" allowBlank="0" type="decimal" operator="between">
      <formula1>0</formula1>
      <formula2>1</formula2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0"/>
    <pageSetUpPr fitToPage="1"/>
  </sheetPr>
  <dimension ref="A1:AO76"/>
  <sheetViews>
    <sheetView showGridLines="0" workbookViewId="0">
      <pane xSplit="5" ySplit="4" topLeftCell="F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5" customWidth="1" min="2" max="2"/>
    <col width="12" customWidth="1" min="3" max="3"/>
    <col width="12" customWidth="1" min="4" max="4"/>
    <col width="12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</cols>
  <sheetData>
    <row r="1" ht="34" customHeight="1">
      <c r="A1" s="1" t="inlineStr">
        <is>
          <t>14 / Lịch theo tuần</t>
        </is>
      </c>
    </row>
    <row r="2" ht="31" customHeight="1">
      <c r="A2" s="2" t="inlineStr">
        <is>
          <t>Ô màu xanh=khung thực hiện; không phải số ngày full time. Mỗi owner 1 package/sprint và review chéo từ 25% thời gian không hữu ích.</t>
        </is>
      </c>
    </row>
    <row r="4" ht="31" customHeight="1">
      <c r="A4" s="3" t="inlineStr">
        <is>
          <t>Task ID</t>
        </is>
      </c>
      <c r="B4" s="3" t="inlineStr">
        <is>
          <t>Work package</t>
        </is>
      </c>
      <c r="C4" s="3" t="inlineStr">
        <is>
          <t>Owner</t>
        </is>
      </c>
      <c r="D4" s="3" t="inlineStr">
        <is>
          <t>Start week</t>
        </is>
      </c>
      <c r="E4" s="3" t="inlineStr">
        <is>
          <t>End week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n">
        <v>32</v>
      </c>
      <c r="AL4" s="3" t="n">
        <v>33</v>
      </c>
      <c r="AM4" s="3" t="n">
        <v>34</v>
      </c>
      <c r="AN4" s="3" t="n">
        <v>35</v>
      </c>
      <c r="AO4" s="3" t="n">
        <v>36</v>
      </c>
    </row>
    <row r="5" ht="30" customHeight="1">
      <c r="A5" s="11" t="inlineStr">
        <is>
          <t>T01-GD</t>
        </is>
      </c>
      <c r="B5" s="11" t="inlineStr">
        <is>
          <t>Khóa MVP, FSD và danh sách quyết định</t>
        </is>
      </c>
      <c r="C5" s="11" t="inlineStr">
        <is>
          <t>GD</t>
        </is>
      </c>
      <c r="D5" s="11">
        <f>'13_WBS'!G5</f>
        <v>1</v>
      </c>
      <c r="E5" s="11">
        <f>'13_WBS'!H5</f>
        <v>2</v>
      </c>
      <c r="F5" s="21">
        <f>IF(AND(F$4&gt;=$D5,F$4&lt;=$E5),1,0)</f>
        <v>1</v>
      </c>
      <c r="G5" s="21">
        <f>IF(AND(G$4&gt;=$D5,G$4&lt;=$E5),1,0)</f>
        <v>1</v>
      </c>
      <c r="H5" s="21">
        <f>IF(AND(H$4&gt;=$D5,H$4&lt;=$E5),1,0)</f>
        <v>0</v>
      </c>
      <c r="I5" s="21">
        <f>IF(AND(I$4&gt;=$D5,I$4&lt;=$E5),1,0)</f>
        <v>0</v>
      </c>
      <c r="J5" s="21">
        <f>IF(AND(J$4&gt;=$D5,J$4&lt;=$E5),1,0)</f>
        <v>0</v>
      </c>
      <c r="K5" s="21">
        <f>IF(AND(K$4&gt;=$D5,K$4&lt;=$E5),1,0)</f>
        <v>0</v>
      </c>
      <c r="L5" s="21">
        <f>IF(AND(L$4&gt;=$D5,L$4&lt;=$E5),1,0)</f>
        <v>0</v>
      </c>
      <c r="M5" s="21">
        <f>IF(AND(M$4&gt;=$D5,M$4&lt;=$E5),1,0)</f>
        <v>0</v>
      </c>
      <c r="N5" s="21">
        <f>IF(AND(N$4&gt;=$D5,N$4&lt;=$E5),1,0)</f>
        <v>0</v>
      </c>
      <c r="O5" s="21">
        <f>IF(AND(O$4&gt;=$D5,O$4&lt;=$E5),1,0)</f>
        <v>0</v>
      </c>
      <c r="P5" s="21">
        <f>IF(AND(P$4&gt;=$D5,P$4&lt;=$E5),1,0)</f>
        <v>0</v>
      </c>
      <c r="Q5" s="21">
        <f>IF(AND(Q$4&gt;=$D5,Q$4&lt;=$E5),1,0)</f>
        <v>0</v>
      </c>
      <c r="R5" s="21">
        <f>IF(AND(R$4&gt;=$D5,R$4&lt;=$E5),1,0)</f>
        <v>0</v>
      </c>
      <c r="S5" s="21">
        <f>IF(AND(S$4&gt;=$D5,S$4&lt;=$E5),1,0)</f>
        <v>0</v>
      </c>
      <c r="T5" s="21">
        <f>IF(AND(T$4&gt;=$D5,T$4&lt;=$E5),1,0)</f>
        <v>0</v>
      </c>
      <c r="U5" s="21">
        <f>IF(AND(U$4&gt;=$D5,U$4&lt;=$E5),1,0)</f>
        <v>0</v>
      </c>
      <c r="V5" s="21">
        <f>IF(AND(V$4&gt;=$D5,V$4&lt;=$E5),1,0)</f>
        <v>0</v>
      </c>
      <c r="W5" s="21">
        <f>IF(AND(W$4&gt;=$D5,W$4&lt;=$E5),1,0)</f>
        <v>0</v>
      </c>
      <c r="X5" s="21">
        <f>IF(AND(X$4&gt;=$D5,X$4&lt;=$E5),1,0)</f>
        <v>0</v>
      </c>
      <c r="Y5" s="21">
        <f>IF(AND(Y$4&gt;=$D5,Y$4&lt;=$E5),1,0)</f>
        <v>0</v>
      </c>
      <c r="Z5" s="21">
        <f>IF(AND(Z$4&gt;=$D5,Z$4&lt;=$E5),1,0)</f>
        <v>0</v>
      </c>
      <c r="AA5" s="21">
        <f>IF(AND(AA$4&gt;=$D5,AA$4&lt;=$E5),1,0)</f>
        <v>0</v>
      </c>
      <c r="AB5" s="21">
        <f>IF(AND(AB$4&gt;=$D5,AB$4&lt;=$E5),1,0)</f>
        <v>0</v>
      </c>
      <c r="AC5" s="21">
        <f>IF(AND(AC$4&gt;=$D5,AC$4&lt;=$E5),1,0)</f>
        <v>0</v>
      </c>
      <c r="AD5" s="21">
        <f>IF(AND(AD$4&gt;=$D5,AD$4&lt;=$E5),1,0)</f>
        <v>0</v>
      </c>
      <c r="AE5" s="21">
        <f>IF(AND(AE$4&gt;=$D5,AE$4&lt;=$E5),1,0)</f>
        <v>0</v>
      </c>
      <c r="AF5" s="21">
        <f>IF(AND(AF$4&gt;=$D5,AF$4&lt;=$E5),1,0)</f>
        <v>0</v>
      </c>
      <c r="AG5" s="21">
        <f>IF(AND(AG$4&gt;=$D5,AG$4&lt;=$E5),1,0)</f>
        <v>0</v>
      </c>
      <c r="AH5" s="21">
        <f>IF(AND(AH$4&gt;=$D5,AH$4&lt;=$E5),1,0)</f>
        <v>0</v>
      </c>
      <c r="AI5" s="21">
        <f>IF(AND(AI$4&gt;=$D5,AI$4&lt;=$E5),1,0)</f>
        <v>0</v>
      </c>
      <c r="AJ5" s="21">
        <f>IF(AND(AJ$4&gt;=$D5,AJ$4&lt;=$E5),1,0)</f>
        <v>0</v>
      </c>
      <c r="AK5" s="21">
        <f>IF(AND(AK$4&gt;=$D5,AK$4&lt;=$E5),1,0)</f>
        <v>0</v>
      </c>
      <c r="AL5" s="21">
        <f>IF(AND(AL$4&gt;=$D5,AL$4&lt;=$E5),1,0)</f>
        <v>0</v>
      </c>
      <c r="AM5" s="21">
        <f>IF(AND(AM$4&gt;=$D5,AM$4&lt;=$E5),1,0)</f>
        <v>0</v>
      </c>
      <c r="AN5" s="21">
        <f>IF(AND(AN$4&gt;=$D5,AN$4&lt;=$E5),1,0)</f>
        <v>0</v>
      </c>
      <c r="AO5" s="21">
        <f>IF(AND(AO$4&gt;=$D5,AO$4&lt;=$E5),1,0)</f>
        <v>0</v>
      </c>
    </row>
    <row r="6" ht="30" customHeight="1">
      <c r="A6" s="12" t="inlineStr">
        <is>
          <t>T01-CL</t>
        </is>
      </c>
      <c r="B6" s="12" t="inlineStr">
        <is>
          <t>Spike Godot isometric trên PC; thử Web export</t>
        </is>
      </c>
      <c r="C6" s="12" t="inlineStr">
        <is>
          <t>CL</t>
        </is>
      </c>
      <c r="D6" s="12">
        <f>'13_WBS'!G6</f>
        <v>1</v>
      </c>
      <c r="E6" s="12">
        <f>'13_WBS'!H6</f>
        <v>2</v>
      </c>
      <c r="F6" s="22">
        <f>IF(AND(F$4&gt;=$D6,F$4&lt;=$E6),1,0)</f>
        <v>1</v>
      </c>
      <c r="G6" s="22">
        <f>IF(AND(G$4&gt;=$D6,G$4&lt;=$E6),1,0)</f>
        <v>1</v>
      </c>
      <c r="H6" s="22">
        <f>IF(AND(H$4&gt;=$D6,H$4&lt;=$E6),1,0)</f>
        <v>0</v>
      </c>
      <c r="I6" s="22">
        <f>IF(AND(I$4&gt;=$D6,I$4&lt;=$E6),1,0)</f>
        <v>0</v>
      </c>
      <c r="J6" s="22">
        <f>IF(AND(J$4&gt;=$D6,J$4&lt;=$E6),1,0)</f>
        <v>0</v>
      </c>
      <c r="K6" s="22">
        <f>IF(AND(K$4&gt;=$D6,K$4&lt;=$E6),1,0)</f>
        <v>0</v>
      </c>
      <c r="L6" s="22">
        <f>IF(AND(L$4&gt;=$D6,L$4&lt;=$E6),1,0)</f>
        <v>0</v>
      </c>
      <c r="M6" s="22">
        <f>IF(AND(M$4&gt;=$D6,M$4&lt;=$E6),1,0)</f>
        <v>0</v>
      </c>
      <c r="N6" s="22">
        <f>IF(AND(N$4&gt;=$D6,N$4&lt;=$E6),1,0)</f>
        <v>0</v>
      </c>
      <c r="O6" s="22">
        <f>IF(AND(O$4&gt;=$D6,O$4&lt;=$E6),1,0)</f>
        <v>0</v>
      </c>
      <c r="P6" s="22">
        <f>IF(AND(P$4&gt;=$D6,P$4&lt;=$E6),1,0)</f>
        <v>0</v>
      </c>
      <c r="Q6" s="22">
        <f>IF(AND(Q$4&gt;=$D6,Q$4&lt;=$E6),1,0)</f>
        <v>0</v>
      </c>
      <c r="R6" s="22">
        <f>IF(AND(R$4&gt;=$D6,R$4&lt;=$E6),1,0)</f>
        <v>0</v>
      </c>
      <c r="S6" s="22">
        <f>IF(AND(S$4&gt;=$D6,S$4&lt;=$E6),1,0)</f>
        <v>0</v>
      </c>
      <c r="T6" s="22">
        <f>IF(AND(T$4&gt;=$D6,T$4&lt;=$E6),1,0)</f>
        <v>0</v>
      </c>
      <c r="U6" s="22">
        <f>IF(AND(U$4&gt;=$D6,U$4&lt;=$E6),1,0)</f>
        <v>0</v>
      </c>
      <c r="V6" s="22">
        <f>IF(AND(V$4&gt;=$D6,V$4&lt;=$E6),1,0)</f>
        <v>0</v>
      </c>
      <c r="W6" s="22">
        <f>IF(AND(W$4&gt;=$D6,W$4&lt;=$E6),1,0)</f>
        <v>0</v>
      </c>
      <c r="X6" s="22">
        <f>IF(AND(X$4&gt;=$D6,X$4&lt;=$E6),1,0)</f>
        <v>0</v>
      </c>
      <c r="Y6" s="22">
        <f>IF(AND(Y$4&gt;=$D6,Y$4&lt;=$E6),1,0)</f>
        <v>0</v>
      </c>
      <c r="Z6" s="22">
        <f>IF(AND(Z$4&gt;=$D6,Z$4&lt;=$E6),1,0)</f>
        <v>0</v>
      </c>
      <c r="AA6" s="22">
        <f>IF(AND(AA$4&gt;=$D6,AA$4&lt;=$E6),1,0)</f>
        <v>0</v>
      </c>
      <c r="AB6" s="22">
        <f>IF(AND(AB$4&gt;=$D6,AB$4&lt;=$E6),1,0)</f>
        <v>0</v>
      </c>
      <c r="AC6" s="22">
        <f>IF(AND(AC$4&gt;=$D6,AC$4&lt;=$E6),1,0)</f>
        <v>0</v>
      </c>
      <c r="AD6" s="22">
        <f>IF(AND(AD$4&gt;=$D6,AD$4&lt;=$E6),1,0)</f>
        <v>0</v>
      </c>
      <c r="AE6" s="22">
        <f>IF(AND(AE$4&gt;=$D6,AE$4&lt;=$E6),1,0)</f>
        <v>0</v>
      </c>
      <c r="AF6" s="22">
        <f>IF(AND(AF$4&gt;=$D6,AF$4&lt;=$E6),1,0)</f>
        <v>0</v>
      </c>
      <c r="AG6" s="22">
        <f>IF(AND(AG$4&gt;=$D6,AG$4&lt;=$E6),1,0)</f>
        <v>0</v>
      </c>
      <c r="AH6" s="22">
        <f>IF(AND(AH$4&gt;=$D6,AH$4&lt;=$E6),1,0)</f>
        <v>0</v>
      </c>
      <c r="AI6" s="22">
        <f>IF(AND(AI$4&gt;=$D6,AI$4&lt;=$E6),1,0)</f>
        <v>0</v>
      </c>
      <c r="AJ6" s="22">
        <f>IF(AND(AJ$4&gt;=$D6,AJ$4&lt;=$E6),1,0)</f>
        <v>0</v>
      </c>
      <c r="AK6" s="22">
        <f>IF(AND(AK$4&gt;=$D6,AK$4&lt;=$E6),1,0)</f>
        <v>0</v>
      </c>
      <c r="AL6" s="22">
        <f>IF(AND(AL$4&gt;=$D6,AL$4&lt;=$E6),1,0)</f>
        <v>0</v>
      </c>
      <c r="AM6" s="22">
        <f>IF(AND(AM$4&gt;=$D6,AM$4&lt;=$E6),1,0)</f>
        <v>0</v>
      </c>
      <c r="AN6" s="22">
        <f>IF(AND(AN$4&gt;=$D6,AN$4&lt;=$E6),1,0)</f>
        <v>0</v>
      </c>
      <c r="AO6" s="22">
        <f>IF(AND(AO$4&gt;=$D6,AO$4&lt;=$E6),1,0)</f>
        <v>0</v>
      </c>
    </row>
    <row r="7" ht="30" customHeight="1">
      <c r="A7" s="11" t="inlineStr">
        <is>
          <t>T01-SV</t>
        </is>
      </c>
      <c r="B7" s="11" t="inlineStr">
        <is>
          <t>Spike authoritative room và lưu dữ liệu</t>
        </is>
      </c>
      <c r="C7" s="11" t="inlineStr">
        <is>
          <t>SV</t>
        </is>
      </c>
      <c r="D7" s="11">
        <f>'13_WBS'!G7</f>
        <v>1</v>
      </c>
      <c r="E7" s="11">
        <f>'13_WBS'!H7</f>
        <v>2</v>
      </c>
      <c r="F7" s="21">
        <f>IF(AND(F$4&gt;=$D7,F$4&lt;=$E7),1,0)</f>
        <v>1</v>
      </c>
      <c r="G7" s="21">
        <f>IF(AND(G$4&gt;=$D7,G$4&lt;=$E7),1,0)</f>
        <v>1</v>
      </c>
      <c r="H7" s="21">
        <f>IF(AND(H$4&gt;=$D7,H$4&lt;=$E7),1,0)</f>
        <v>0</v>
      </c>
      <c r="I7" s="21">
        <f>IF(AND(I$4&gt;=$D7,I$4&lt;=$E7),1,0)</f>
        <v>0</v>
      </c>
      <c r="J7" s="21">
        <f>IF(AND(J$4&gt;=$D7,J$4&lt;=$E7),1,0)</f>
        <v>0</v>
      </c>
      <c r="K7" s="21">
        <f>IF(AND(K$4&gt;=$D7,K$4&lt;=$E7),1,0)</f>
        <v>0</v>
      </c>
      <c r="L7" s="21">
        <f>IF(AND(L$4&gt;=$D7,L$4&lt;=$E7),1,0)</f>
        <v>0</v>
      </c>
      <c r="M7" s="21">
        <f>IF(AND(M$4&gt;=$D7,M$4&lt;=$E7),1,0)</f>
        <v>0</v>
      </c>
      <c r="N7" s="21">
        <f>IF(AND(N$4&gt;=$D7,N$4&lt;=$E7),1,0)</f>
        <v>0</v>
      </c>
      <c r="O7" s="21">
        <f>IF(AND(O$4&gt;=$D7,O$4&lt;=$E7),1,0)</f>
        <v>0</v>
      </c>
      <c r="P7" s="21">
        <f>IF(AND(P$4&gt;=$D7,P$4&lt;=$E7),1,0)</f>
        <v>0</v>
      </c>
      <c r="Q7" s="21">
        <f>IF(AND(Q$4&gt;=$D7,Q$4&lt;=$E7),1,0)</f>
        <v>0</v>
      </c>
      <c r="R7" s="21">
        <f>IF(AND(R$4&gt;=$D7,R$4&lt;=$E7),1,0)</f>
        <v>0</v>
      </c>
      <c r="S7" s="21">
        <f>IF(AND(S$4&gt;=$D7,S$4&lt;=$E7),1,0)</f>
        <v>0</v>
      </c>
      <c r="T7" s="21">
        <f>IF(AND(T$4&gt;=$D7,T$4&lt;=$E7),1,0)</f>
        <v>0</v>
      </c>
      <c r="U7" s="21">
        <f>IF(AND(U$4&gt;=$D7,U$4&lt;=$E7),1,0)</f>
        <v>0</v>
      </c>
      <c r="V7" s="21">
        <f>IF(AND(V$4&gt;=$D7,V$4&lt;=$E7),1,0)</f>
        <v>0</v>
      </c>
      <c r="W7" s="21">
        <f>IF(AND(W$4&gt;=$D7,W$4&lt;=$E7),1,0)</f>
        <v>0</v>
      </c>
      <c r="X7" s="21">
        <f>IF(AND(X$4&gt;=$D7,X$4&lt;=$E7),1,0)</f>
        <v>0</v>
      </c>
      <c r="Y7" s="21">
        <f>IF(AND(Y$4&gt;=$D7,Y$4&lt;=$E7),1,0)</f>
        <v>0</v>
      </c>
      <c r="Z7" s="21">
        <f>IF(AND(Z$4&gt;=$D7,Z$4&lt;=$E7),1,0)</f>
        <v>0</v>
      </c>
      <c r="AA7" s="21">
        <f>IF(AND(AA$4&gt;=$D7,AA$4&lt;=$E7),1,0)</f>
        <v>0</v>
      </c>
      <c r="AB7" s="21">
        <f>IF(AND(AB$4&gt;=$D7,AB$4&lt;=$E7),1,0)</f>
        <v>0</v>
      </c>
      <c r="AC7" s="21">
        <f>IF(AND(AC$4&gt;=$D7,AC$4&lt;=$E7),1,0)</f>
        <v>0</v>
      </c>
      <c r="AD7" s="21">
        <f>IF(AND(AD$4&gt;=$D7,AD$4&lt;=$E7),1,0)</f>
        <v>0</v>
      </c>
      <c r="AE7" s="21">
        <f>IF(AND(AE$4&gt;=$D7,AE$4&lt;=$E7),1,0)</f>
        <v>0</v>
      </c>
      <c r="AF7" s="21">
        <f>IF(AND(AF$4&gt;=$D7,AF$4&lt;=$E7),1,0)</f>
        <v>0</v>
      </c>
      <c r="AG7" s="21">
        <f>IF(AND(AG$4&gt;=$D7,AG$4&lt;=$E7),1,0)</f>
        <v>0</v>
      </c>
      <c r="AH7" s="21">
        <f>IF(AND(AH$4&gt;=$D7,AH$4&lt;=$E7),1,0)</f>
        <v>0</v>
      </c>
      <c r="AI7" s="21">
        <f>IF(AND(AI$4&gt;=$D7,AI$4&lt;=$E7),1,0)</f>
        <v>0</v>
      </c>
      <c r="AJ7" s="21">
        <f>IF(AND(AJ$4&gt;=$D7,AJ$4&lt;=$E7),1,0)</f>
        <v>0</v>
      </c>
      <c r="AK7" s="21">
        <f>IF(AND(AK$4&gt;=$D7,AK$4&lt;=$E7),1,0)</f>
        <v>0</v>
      </c>
      <c r="AL7" s="21">
        <f>IF(AND(AL$4&gt;=$D7,AL$4&lt;=$E7),1,0)</f>
        <v>0</v>
      </c>
      <c r="AM7" s="21">
        <f>IF(AND(AM$4&gt;=$D7,AM$4&lt;=$E7),1,0)</f>
        <v>0</v>
      </c>
      <c r="AN7" s="21">
        <f>IF(AND(AN$4&gt;=$D7,AN$4&lt;=$E7),1,0)</f>
        <v>0</v>
      </c>
      <c r="AO7" s="21">
        <f>IF(AND(AO$4&gt;=$D7,AO$4&lt;=$E7),1,0)</f>
        <v>0</v>
      </c>
    </row>
    <row r="8" ht="30" customHeight="1">
      <c r="A8" s="12" t="inlineStr">
        <is>
          <t>T01-AR</t>
        </is>
      </c>
      <c r="B8" s="12" t="inlineStr">
        <is>
          <t>Art direction và kiểm kê tài nguyên</t>
        </is>
      </c>
      <c r="C8" s="12" t="inlineStr">
        <is>
          <t>AR</t>
        </is>
      </c>
      <c r="D8" s="12">
        <f>'13_WBS'!G8</f>
        <v>1</v>
      </c>
      <c r="E8" s="12">
        <f>'13_WBS'!H8</f>
        <v>2</v>
      </c>
      <c r="F8" s="22">
        <f>IF(AND(F$4&gt;=$D8,F$4&lt;=$E8),1,0)</f>
        <v>1</v>
      </c>
      <c r="G8" s="22">
        <f>IF(AND(G$4&gt;=$D8,G$4&lt;=$E8),1,0)</f>
        <v>1</v>
      </c>
      <c r="H8" s="22">
        <f>IF(AND(H$4&gt;=$D8,H$4&lt;=$E8),1,0)</f>
        <v>0</v>
      </c>
      <c r="I8" s="22">
        <f>IF(AND(I$4&gt;=$D8,I$4&lt;=$E8),1,0)</f>
        <v>0</v>
      </c>
      <c r="J8" s="22">
        <f>IF(AND(J$4&gt;=$D8,J$4&lt;=$E8),1,0)</f>
        <v>0</v>
      </c>
      <c r="K8" s="22">
        <f>IF(AND(K$4&gt;=$D8,K$4&lt;=$E8),1,0)</f>
        <v>0</v>
      </c>
      <c r="L8" s="22">
        <f>IF(AND(L$4&gt;=$D8,L$4&lt;=$E8),1,0)</f>
        <v>0</v>
      </c>
      <c r="M8" s="22">
        <f>IF(AND(M$4&gt;=$D8,M$4&lt;=$E8),1,0)</f>
        <v>0</v>
      </c>
      <c r="N8" s="22">
        <f>IF(AND(N$4&gt;=$D8,N$4&lt;=$E8),1,0)</f>
        <v>0</v>
      </c>
      <c r="O8" s="22">
        <f>IF(AND(O$4&gt;=$D8,O$4&lt;=$E8),1,0)</f>
        <v>0</v>
      </c>
      <c r="P8" s="22">
        <f>IF(AND(P$4&gt;=$D8,P$4&lt;=$E8),1,0)</f>
        <v>0</v>
      </c>
      <c r="Q8" s="22">
        <f>IF(AND(Q$4&gt;=$D8,Q$4&lt;=$E8),1,0)</f>
        <v>0</v>
      </c>
      <c r="R8" s="22">
        <f>IF(AND(R$4&gt;=$D8,R$4&lt;=$E8),1,0)</f>
        <v>0</v>
      </c>
      <c r="S8" s="22">
        <f>IF(AND(S$4&gt;=$D8,S$4&lt;=$E8),1,0)</f>
        <v>0</v>
      </c>
      <c r="T8" s="22">
        <f>IF(AND(T$4&gt;=$D8,T$4&lt;=$E8),1,0)</f>
        <v>0</v>
      </c>
      <c r="U8" s="22">
        <f>IF(AND(U$4&gt;=$D8,U$4&lt;=$E8),1,0)</f>
        <v>0</v>
      </c>
      <c r="V8" s="22">
        <f>IF(AND(V$4&gt;=$D8,V$4&lt;=$E8),1,0)</f>
        <v>0</v>
      </c>
      <c r="W8" s="22">
        <f>IF(AND(W$4&gt;=$D8,W$4&lt;=$E8),1,0)</f>
        <v>0</v>
      </c>
      <c r="X8" s="22">
        <f>IF(AND(X$4&gt;=$D8,X$4&lt;=$E8),1,0)</f>
        <v>0</v>
      </c>
      <c r="Y8" s="22">
        <f>IF(AND(Y$4&gt;=$D8,Y$4&lt;=$E8),1,0)</f>
        <v>0</v>
      </c>
      <c r="Z8" s="22">
        <f>IF(AND(Z$4&gt;=$D8,Z$4&lt;=$E8),1,0)</f>
        <v>0</v>
      </c>
      <c r="AA8" s="22">
        <f>IF(AND(AA$4&gt;=$D8,AA$4&lt;=$E8),1,0)</f>
        <v>0</v>
      </c>
      <c r="AB8" s="22">
        <f>IF(AND(AB$4&gt;=$D8,AB$4&lt;=$E8),1,0)</f>
        <v>0</v>
      </c>
      <c r="AC8" s="22">
        <f>IF(AND(AC$4&gt;=$D8,AC$4&lt;=$E8),1,0)</f>
        <v>0</v>
      </c>
      <c r="AD8" s="22">
        <f>IF(AND(AD$4&gt;=$D8,AD$4&lt;=$E8),1,0)</f>
        <v>0</v>
      </c>
      <c r="AE8" s="22">
        <f>IF(AND(AE$4&gt;=$D8,AE$4&lt;=$E8),1,0)</f>
        <v>0</v>
      </c>
      <c r="AF8" s="22">
        <f>IF(AND(AF$4&gt;=$D8,AF$4&lt;=$E8),1,0)</f>
        <v>0</v>
      </c>
      <c r="AG8" s="22">
        <f>IF(AND(AG$4&gt;=$D8,AG$4&lt;=$E8),1,0)</f>
        <v>0</v>
      </c>
      <c r="AH8" s="22">
        <f>IF(AND(AH$4&gt;=$D8,AH$4&lt;=$E8),1,0)</f>
        <v>0</v>
      </c>
      <c r="AI8" s="22">
        <f>IF(AND(AI$4&gt;=$D8,AI$4&lt;=$E8),1,0)</f>
        <v>0</v>
      </c>
      <c r="AJ8" s="22">
        <f>IF(AND(AJ$4&gt;=$D8,AJ$4&lt;=$E8),1,0)</f>
        <v>0</v>
      </c>
      <c r="AK8" s="22">
        <f>IF(AND(AK$4&gt;=$D8,AK$4&lt;=$E8),1,0)</f>
        <v>0</v>
      </c>
      <c r="AL8" s="22">
        <f>IF(AND(AL$4&gt;=$D8,AL$4&lt;=$E8),1,0)</f>
        <v>0</v>
      </c>
      <c r="AM8" s="22">
        <f>IF(AND(AM$4&gt;=$D8,AM$4&lt;=$E8),1,0)</f>
        <v>0</v>
      </c>
      <c r="AN8" s="22">
        <f>IF(AND(AN$4&gt;=$D8,AN$4&lt;=$E8),1,0)</f>
        <v>0</v>
      </c>
      <c r="AO8" s="22">
        <f>IF(AND(AO$4&gt;=$D8,AO$4&lt;=$E8),1,0)</f>
        <v>0</v>
      </c>
    </row>
    <row r="9" ht="30" customHeight="1">
      <c r="A9" s="11" t="inlineStr">
        <is>
          <t>T02-GD</t>
        </is>
      </c>
      <c r="B9" s="11" t="inlineStr">
        <is>
          <t>Chốt luật chiến đấu và mô hình dữ liệu</t>
        </is>
      </c>
      <c r="C9" s="11" t="inlineStr">
        <is>
          <t>GD</t>
        </is>
      </c>
      <c r="D9" s="11">
        <f>'13_WBS'!G9</f>
        <v>3</v>
      </c>
      <c r="E9" s="11">
        <f>'13_WBS'!H9</f>
        <v>4</v>
      </c>
      <c r="F9" s="21">
        <f>IF(AND(F$4&gt;=$D9,F$4&lt;=$E9),1,0)</f>
        <v>0</v>
      </c>
      <c r="G9" s="21">
        <f>IF(AND(G$4&gt;=$D9,G$4&lt;=$E9),1,0)</f>
        <v>0</v>
      </c>
      <c r="H9" s="21">
        <f>IF(AND(H$4&gt;=$D9,H$4&lt;=$E9),1,0)</f>
        <v>1</v>
      </c>
      <c r="I9" s="21">
        <f>IF(AND(I$4&gt;=$D9,I$4&lt;=$E9),1,0)</f>
        <v>1</v>
      </c>
      <c r="J9" s="21">
        <f>IF(AND(J$4&gt;=$D9,J$4&lt;=$E9),1,0)</f>
        <v>0</v>
      </c>
      <c r="K9" s="21">
        <f>IF(AND(K$4&gt;=$D9,K$4&lt;=$E9),1,0)</f>
        <v>0</v>
      </c>
      <c r="L9" s="21">
        <f>IF(AND(L$4&gt;=$D9,L$4&lt;=$E9),1,0)</f>
        <v>0</v>
      </c>
      <c r="M9" s="21">
        <f>IF(AND(M$4&gt;=$D9,M$4&lt;=$E9),1,0)</f>
        <v>0</v>
      </c>
      <c r="N9" s="21">
        <f>IF(AND(N$4&gt;=$D9,N$4&lt;=$E9),1,0)</f>
        <v>0</v>
      </c>
      <c r="O9" s="21">
        <f>IF(AND(O$4&gt;=$D9,O$4&lt;=$E9),1,0)</f>
        <v>0</v>
      </c>
      <c r="P9" s="21">
        <f>IF(AND(P$4&gt;=$D9,P$4&lt;=$E9),1,0)</f>
        <v>0</v>
      </c>
      <c r="Q9" s="21">
        <f>IF(AND(Q$4&gt;=$D9,Q$4&lt;=$E9),1,0)</f>
        <v>0</v>
      </c>
      <c r="R9" s="21">
        <f>IF(AND(R$4&gt;=$D9,R$4&lt;=$E9),1,0)</f>
        <v>0</v>
      </c>
      <c r="S9" s="21">
        <f>IF(AND(S$4&gt;=$D9,S$4&lt;=$E9),1,0)</f>
        <v>0</v>
      </c>
      <c r="T9" s="21">
        <f>IF(AND(T$4&gt;=$D9,T$4&lt;=$E9),1,0)</f>
        <v>0</v>
      </c>
      <c r="U9" s="21">
        <f>IF(AND(U$4&gt;=$D9,U$4&lt;=$E9),1,0)</f>
        <v>0</v>
      </c>
      <c r="V9" s="21">
        <f>IF(AND(V$4&gt;=$D9,V$4&lt;=$E9),1,0)</f>
        <v>0</v>
      </c>
      <c r="W9" s="21">
        <f>IF(AND(W$4&gt;=$D9,W$4&lt;=$E9),1,0)</f>
        <v>0</v>
      </c>
      <c r="X9" s="21">
        <f>IF(AND(X$4&gt;=$D9,X$4&lt;=$E9),1,0)</f>
        <v>0</v>
      </c>
      <c r="Y9" s="21">
        <f>IF(AND(Y$4&gt;=$D9,Y$4&lt;=$E9),1,0)</f>
        <v>0</v>
      </c>
      <c r="Z9" s="21">
        <f>IF(AND(Z$4&gt;=$D9,Z$4&lt;=$E9),1,0)</f>
        <v>0</v>
      </c>
      <c r="AA9" s="21">
        <f>IF(AND(AA$4&gt;=$D9,AA$4&lt;=$E9),1,0)</f>
        <v>0</v>
      </c>
      <c r="AB9" s="21">
        <f>IF(AND(AB$4&gt;=$D9,AB$4&lt;=$E9),1,0)</f>
        <v>0</v>
      </c>
      <c r="AC9" s="21">
        <f>IF(AND(AC$4&gt;=$D9,AC$4&lt;=$E9),1,0)</f>
        <v>0</v>
      </c>
      <c r="AD9" s="21">
        <f>IF(AND(AD$4&gt;=$D9,AD$4&lt;=$E9),1,0)</f>
        <v>0</v>
      </c>
      <c r="AE9" s="21">
        <f>IF(AND(AE$4&gt;=$D9,AE$4&lt;=$E9),1,0)</f>
        <v>0</v>
      </c>
      <c r="AF9" s="21">
        <f>IF(AND(AF$4&gt;=$D9,AF$4&lt;=$E9),1,0)</f>
        <v>0</v>
      </c>
      <c r="AG9" s="21">
        <f>IF(AND(AG$4&gt;=$D9,AG$4&lt;=$E9),1,0)</f>
        <v>0</v>
      </c>
      <c r="AH9" s="21">
        <f>IF(AND(AH$4&gt;=$D9,AH$4&lt;=$E9),1,0)</f>
        <v>0</v>
      </c>
      <c r="AI9" s="21">
        <f>IF(AND(AI$4&gt;=$D9,AI$4&lt;=$E9),1,0)</f>
        <v>0</v>
      </c>
      <c r="AJ9" s="21">
        <f>IF(AND(AJ$4&gt;=$D9,AJ$4&lt;=$E9),1,0)</f>
        <v>0</v>
      </c>
      <c r="AK9" s="21">
        <f>IF(AND(AK$4&gt;=$D9,AK$4&lt;=$E9),1,0)</f>
        <v>0</v>
      </c>
      <c r="AL9" s="21">
        <f>IF(AND(AL$4&gt;=$D9,AL$4&lt;=$E9),1,0)</f>
        <v>0</v>
      </c>
      <c r="AM9" s="21">
        <f>IF(AND(AM$4&gt;=$D9,AM$4&lt;=$E9),1,0)</f>
        <v>0</v>
      </c>
      <c r="AN9" s="21">
        <f>IF(AND(AN$4&gt;=$D9,AN$4&lt;=$E9),1,0)</f>
        <v>0</v>
      </c>
      <c r="AO9" s="21">
        <f>IF(AND(AO$4&gt;=$D9,AO$4&lt;=$E9),1,0)</f>
        <v>0</v>
      </c>
    </row>
    <row r="10" ht="30" customHeight="1">
      <c r="A10" s="12" t="inlineStr">
        <is>
          <t>T02-CL</t>
        </is>
      </c>
      <c r="B10" s="12" t="inlineStr">
        <is>
          <t>Client shell, scene và tọa độ</t>
        </is>
      </c>
      <c r="C10" s="12" t="inlineStr">
        <is>
          <t>CL</t>
        </is>
      </c>
      <c r="D10" s="12">
        <f>'13_WBS'!G10</f>
        <v>3</v>
      </c>
      <c r="E10" s="12">
        <f>'13_WBS'!H10</f>
        <v>4</v>
      </c>
      <c r="F10" s="22">
        <f>IF(AND(F$4&gt;=$D10,F$4&lt;=$E10),1,0)</f>
        <v>0</v>
      </c>
      <c r="G10" s="22">
        <f>IF(AND(G$4&gt;=$D10,G$4&lt;=$E10),1,0)</f>
        <v>0</v>
      </c>
      <c r="H10" s="22">
        <f>IF(AND(H$4&gt;=$D10,H$4&lt;=$E10),1,0)</f>
        <v>1</v>
      </c>
      <c r="I10" s="22">
        <f>IF(AND(I$4&gt;=$D10,I$4&lt;=$E10),1,0)</f>
        <v>1</v>
      </c>
      <c r="J10" s="22">
        <f>IF(AND(J$4&gt;=$D10,J$4&lt;=$E10),1,0)</f>
        <v>0</v>
      </c>
      <c r="K10" s="22">
        <f>IF(AND(K$4&gt;=$D10,K$4&lt;=$E10),1,0)</f>
        <v>0</v>
      </c>
      <c r="L10" s="22">
        <f>IF(AND(L$4&gt;=$D10,L$4&lt;=$E10),1,0)</f>
        <v>0</v>
      </c>
      <c r="M10" s="22">
        <f>IF(AND(M$4&gt;=$D10,M$4&lt;=$E10),1,0)</f>
        <v>0</v>
      </c>
      <c r="N10" s="22">
        <f>IF(AND(N$4&gt;=$D10,N$4&lt;=$E10),1,0)</f>
        <v>0</v>
      </c>
      <c r="O10" s="22">
        <f>IF(AND(O$4&gt;=$D10,O$4&lt;=$E10),1,0)</f>
        <v>0</v>
      </c>
      <c r="P10" s="22">
        <f>IF(AND(P$4&gt;=$D10,P$4&lt;=$E10),1,0)</f>
        <v>0</v>
      </c>
      <c r="Q10" s="22">
        <f>IF(AND(Q$4&gt;=$D10,Q$4&lt;=$E10),1,0)</f>
        <v>0</v>
      </c>
      <c r="R10" s="22">
        <f>IF(AND(R$4&gt;=$D10,R$4&lt;=$E10),1,0)</f>
        <v>0</v>
      </c>
      <c r="S10" s="22">
        <f>IF(AND(S$4&gt;=$D10,S$4&lt;=$E10),1,0)</f>
        <v>0</v>
      </c>
      <c r="T10" s="22">
        <f>IF(AND(T$4&gt;=$D10,T$4&lt;=$E10),1,0)</f>
        <v>0</v>
      </c>
      <c r="U10" s="22">
        <f>IF(AND(U$4&gt;=$D10,U$4&lt;=$E10),1,0)</f>
        <v>0</v>
      </c>
      <c r="V10" s="22">
        <f>IF(AND(V$4&gt;=$D10,V$4&lt;=$E10),1,0)</f>
        <v>0</v>
      </c>
      <c r="W10" s="22">
        <f>IF(AND(W$4&gt;=$D10,W$4&lt;=$E10),1,0)</f>
        <v>0</v>
      </c>
      <c r="X10" s="22">
        <f>IF(AND(X$4&gt;=$D10,X$4&lt;=$E10),1,0)</f>
        <v>0</v>
      </c>
      <c r="Y10" s="22">
        <f>IF(AND(Y$4&gt;=$D10,Y$4&lt;=$E10),1,0)</f>
        <v>0</v>
      </c>
      <c r="Z10" s="22">
        <f>IF(AND(Z$4&gt;=$D10,Z$4&lt;=$E10),1,0)</f>
        <v>0</v>
      </c>
      <c r="AA10" s="22">
        <f>IF(AND(AA$4&gt;=$D10,AA$4&lt;=$E10),1,0)</f>
        <v>0</v>
      </c>
      <c r="AB10" s="22">
        <f>IF(AND(AB$4&gt;=$D10,AB$4&lt;=$E10),1,0)</f>
        <v>0</v>
      </c>
      <c r="AC10" s="22">
        <f>IF(AND(AC$4&gt;=$D10,AC$4&lt;=$E10),1,0)</f>
        <v>0</v>
      </c>
      <c r="AD10" s="22">
        <f>IF(AND(AD$4&gt;=$D10,AD$4&lt;=$E10),1,0)</f>
        <v>0</v>
      </c>
      <c r="AE10" s="22">
        <f>IF(AND(AE$4&gt;=$D10,AE$4&lt;=$E10),1,0)</f>
        <v>0</v>
      </c>
      <c r="AF10" s="22">
        <f>IF(AND(AF$4&gt;=$D10,AF$4&lt;=$E10),1,0)</f>
        <v>0</v>
      </c>
      <c r="AG10" s="22">
        <f>IF(AND(AG$4&gt;=$D10,AG$4&lt;=$E10),1,0)</f>
        <v>0</v>
      </c>
      <c r="AH10" s="22">
        <f>IF(AND(AH$4&gt;=$D10,AH$4&lt;=$E10),1,0)</f>
        <v>0</v>
      </c>
      <c r="AI10" s="22">
        <f>IF(AND(AI$4&gt;=$D10,AI$4&lt;=$E10),1,0)</f>
        <v>0</v>
      </c>
      <c r="AJ10" s="22">
        <f>IF(AND(AJ$4&gt;=$D10,AJ$4&lt;=$E10),1,0)</f>
        <v>0</v>
      </c>
      <c r="AK10" s="22">
        <f>IF(AND(AK$4&gt;=$D10,AK$4&lt;=$E10),1,0)</f>
        <v>0</v>
      </c>
      <c r="AL10" s="22">
        <f>IF(AND(AL$4&gt;=$D10,AL$4&lt;=$E10),1,0)</f>
        <v>0</v>
      </c>
      <c r="AM10" s="22">
        <f>IF(AND(AM$4&gt;=$D10,AM$4&lt;=$E10),1,0)</f>
        <v>0</v>
      </c>
      <c r="AN10" s="22">
        <f>IF(AND(AN$4&gt;=$D10,AN$4&lt;=$E10),1,0)</f>
        <v>0</v>
      </c>
      <c r="AO10" s="22">
        <f>IF(AND(AO$4&gt;=$D10,AO$4&lt;=$E10),1,0)</f>
        <v>0</v>
      </c>
    </row>
    <row r="11" ht="30" customHeight="1">
      <c r="A11" s="11" t="inlineStr">
        <is>
          <t>T02-SV</t>
        </is>
      </c>
      <c r="B11" s="11" t="inlineStr">
        <is>
          <t>Repo, CI, schema và đăng nhập</t>
        </is>
      </c>
      <c r="C11" s="11" t="inlineStr">
        <is>
          <t>SV</t>
        </is>
      </c>
      <c r="D11" s="11">
        <f>'13_WBS'!G11</f>
        <v>3</v>
      </c>
      <c r="E11" s="11">
        <f>'13_WBS'!H11</f>
        <v>4</v>
      </c>
      <c r="F11" s="21">
        <f>IF(AND(F$4&gt;=$D11,F$4&lt;=$E11),1,0)</f>
        <v>0</v>
      </c>
      <c r="G11" s="21">
        <f>IF(AND(G$4&gt;=$D11,G$4&lt;=$E11),1,0)</f>
        <v>0</v>
      </c>
      <c r="H11" s="21">
        <f>IF(AND(H$4&gt;=$D11,H$4&lt;=$E11),1,0)</f>
        <v>1</v>
      </c>
      <c r="I11" s="21">
        <f>IF(AND(I$4&gt;=$D11,I$4&lt;=$E11),1,0)</f>
        <v>1</v>
      </c>
      <c r="J11" s="21">
        <f>IF(AND(J$4&gt;=$D11,J$4&lt;=$E11),1,0)</f>
        <v>0</v>
      </c>
      <c r="K11" s="21">
        <f>IF(AND(K$4&gt;=$D11,K$4&lt;=$E11),1,0)</f>
        <v>0</v>
      </c>
      <c r="L11" s="21">
        <f>IF(AND(L$4&gt;=$D11,L$4&lt;=$E11),1,0)</f>
        <v>0</v>
      </c>
      <c r="M11" s="21">
        <f>IF(AND(M$4&gt;=$D11,M$4&lt;=$E11),1,0)</f>
        <v>0</v>
      </c>
      <c r="N11" s="21">
        <f>IF(AND(N$4&gt;=$D11,N$4&lt;=$E11),1,0)</f>
        <v>0</v>
      </c>
      <c r="O11" s="21">
        <f>IF(AND(O$4&gt;=$D11,O$4&lt;=$E11),1,0)</f>
        <v>0</v>
      </c>
      <c r="P11" s="21">
        <f>IF(AND(P$4&gt;=$D11,P$4&lt;=$E11),1,0)</f>
        <v>0</v>
      </c>
      <c r="Q11" s="21">
        <f>IF(AND(Q$4&gt;=$D11,Q$4&lt;=$E11),1,0)</f>
        <v>0</v>
      </c>
      <c r="R11" s="21">
        <f>IF(AND(R$4&gt;=$D11,R$4&lt;=$E11),1,0)</f>
        <v>0</v>
      </c>
      <c r="S11" s="21">
        <f>IF(AND(S$4&gt;=$D11,S$4&lt;=$E11),1,0)</f>
        <v>0</v>
      </c>
      <c r="T11" s="21">
        <f>IF(AND(T$4&gt;=$D11,T$4&lt;=$E11),1,0)</f>
        <v>0</v>
      </c>
      <c r="U11" s="21">
        <f>IF(AND(U$4&gt;=$D11,U$4&lt;=$E11),1,0)</f>
        <v>0</v>
      </c>
      <c r="V11" s="21">
        <f>IF(AND(V$4&gt;=$D11,V$4&lt;=$E11),1,0)</f>
        <v>0</v>
      </c>
      <c r="W11" s="21">
        <f>IF(AND(W$4&gt;=$D11,W$4&lt;=$E11),1,0)</f>
        <v>0</v>
      </c>
      <c r="X11" s="21">
        <f>IF(AND(X$4&gt;=$D11,X$4&lt;=$E11),1,0)</f>
        <v>0</v>
      </c>
      <c r="Y11" s="21">
        <f>IF(AND(Y$4&gt;=$D11,Y$4&lt;=$E11),1,0)</f>
        <v>0</v>
      </c>
      <c r="Z11" s="21">
        <f>IF(AND(Z$4&gt;=$D11,Z$4&lt;=$E11),1,0)</f>
        <v>0</v>
      </c>
      <c r="AA11" s="21">
        <f>IF(AND(AA$4&gt;=$D11,AA$4&lt;=$E11),1,0)</f>
        <v>0</v>
      </c>
      <c r="AB11" s="21">
        <f>IF(AND(AB$4&gt;=$D11,AB$4&lt;=$E11),1,0)</f>
        <v>0</v>
      </c>
      <c r="AC11" s="21">
        <f>IF(AND(AC$4&gt;=$D11,AC$4&lt;=$E11),1,0)</f>
        <v>0</v>
      </c>
      <c r="AD11" s="21">
        <f>IF(AND(AD$4&gt;=$D11,AD$4&lt;=$E11),1,0)</f>
        <v>0</v>
      </c>
      <c r="AE11" s="21">
        <f>IF(AND(AE$4&gt;=$D11,AE$4&lt;=$E11),1,0)</f>
        <v>0</v>
      </c>
      <c r="AF11" s="21">
        <f>IF(AND(AF$4&gt;=$D11,AF$4&lt;=$E11),1,0)</f>
        <v>0</v>
      </c>
      <c r="AG11" s="21">
        <f>IF(AND(AG$4&gt;=$D11,AG$4&lt;=$E11),1,0)</f>
        <v>0</v>
      </c>
      <c r="AH11" s="21">
        <f>IF(AND(AH$4&gt;=$D11,AH$4&lt;=$E11),1,0)</f>
        <v>0</v>
      </c>
      <c r="AI11" s="21">
        <f>IF(AND(AI$4&gt;=$D11,AI$4&lt;=$E11),1,0)</f>
        <v>0</v>
      </c>
      <c r="AJ11" s="21">
        <f>IF(AND(AJ$4&gt;=$D11,AJ$4&lt;=$E11),1,0)</f>
        <v>0</v>
      </c>
      <c r="AK11" s="21">
        <f>IF(AND(AK$4&gt;=$D11,AK$4&lt;=$E11),1,0)</f>
        <v>0</v>
      </c>
      <c r="AL11" s="21">
        <f>IF(AND(AL$4&gt;=$D11,AL$4&lt;=$E11),1,0)</f>
        <v>0</v>
      </c>
      <c r="AM11" s="21">
        <f>IF(AND(AM$4&gt;=$D11,AM$4&lt;=$E11),1,0)</f>
        <v>0</v>
      </c>
      <c r="AN11" s="21">
        <f>IF(AND(AN$4&gt;=$D11,AN$4&lt;=$E11),1,0)</f>
        <v>0</v>
      </c>
      <c r="AO11" s="21">
        <f>IF(AND(AO$4&gt;=$D11,AO$4&lt;=$E11),1,0)</f>
        <v>0</v>
      </c>
    </row>
    <row r="12" ht="30" customHeight="1">
      <c r="A12" s="12" t="inlineStr">
        <is>
          <t>T02-AR</t>
        </is>
      </c>
      <c r="B12" s="12" t="inlineStr">
        <is>
          <t>Nhân vật và tileset cơ sở</t>
        </is>
      </c>
      <c r="C12" s="12" t="inlineStr">
        <is>
          <t>AR</t>
        </is>
      </c>
      <c r="D12" s="12">
        <f>'13_WBS'!G12</f>
        <v>3</v>
      </c>
      <c r="E12" s="12">
        <f>'13_WBS'!H12</f>
        <v>4</v>
      </c>
      <c r="F12" s="22">
        <f>IF(AND(F$4&gt;=$D12,F$4&lt;=$E12),1,0)</f>
        <v>0</v>
      </c>
      <c r="G12" s="22">
        <f>IF(AND(G$4&gt;=$D12,G$4&lt;=$E12),1,0)</f>
        <v>0</v>
      </c>
      <c r="H12" s="22">
        <f>IF(AND(H$4&gt;=$D12,H$4&lt;=$E12),1,0)</f>
        <v>1</v>
      </c>
      <c r="I12" s="22">
        <f>IF(AND(I$4&gt;=$D12,I$4&lt;=$E12),1,0)</f>
        <v>1</v>
      </c>
      <c r="J12" s="22">
        <f>IF(AND(J$4&gt;=$D12,J$4&lt;=$E12),1,0)</f>
        <v>0</v>
      </c>
      <c r="K12" s="22">
        <f>IF(AND(K$4&gt;=$D12,K$4&lt;=$E12),1,0)</f>
        <v>0</v>
      </c>
      <c r="L12" s="22">
        <f>IF(AND(L$4&gt;=$D12,L$4&lt;=$E12),1,0)</f>
        <v>0</v>
      </c>
      <c r="M12" s="22">
        <f>IF(AND(M$4&gt;=$D12,M$4&lt;=$E12),1,0)</f>
        <v>0</v>
      </c>
      <c r="N12" s="22">
        <f>IF(AND(N$4&gt;=$D12,N$4&lt;=$E12),1,0)</f>
        <v>0</v>
      </c>
      <c r="O12" s="22">
        <f>IF(AND(O$4&gt;=$D12,O$4&lt;=$E12),1,0)</f>
        <v>0</v>
      </c>
      <c r="P12" s="22">
        <f>IF(AND(P$4&gt;=$D12,P$4&lt;=$E12),1,0)</f>
        <v>0</v>
      </c>
      <c r="Q12" s="22">
        <f>IF(AND(Q$4&gt;=$D12,Q$4&lt;=$E12),1,0)</f>
        <v>0</v>
      </c>
      <c r="R12" s="22">
        <f>IF(AND(R$4&gt;=$D12,R$4&lt;=$E12),1,0)</f>
        <v>0</v>
      </c>
      <c r="S12" s="22">
        <f>IF(AND(S$4&gt;=$D12,S$4&lt;=$E12),1,0)</f>
        <v>0</v>
      </c>
      <c r="T12" s="22">
        <f>IF(AND(T$4&gt;=$D12,T$4&lt;=$E12),1,0)</f>
        <v>0</v>
      </c>
      <c r="U12" s="22">
        <f>IF(AND(U$4&gt;=$D12,U$4&lt;=$E12),1,0)</f>
        <v>0</v>
      </c>
      <c r="V12" s="22">
        <f>IF(AND(V$4&gt;=$D12,V$4&lt;=$E12),1,0)</f>
        <v>0</v>
      </c>
      <c r="W12" s="22">
        <f>IF(AND(W$4&gt;=$D12,W$4&lt;=$E12),1,0)</f>
        <v>0</v>
      </c>
      <c r="X12" s="22">
        <f>IF(AND(X$4&gt;=$D12,X$4&lt;=$E12),1,0)</f>
        <v>0</v>
      </c>
      <c r="Y12" s="22">
        <f>IF(AND(Y$4&gt;=$D12,Y$4&lt;=$E12),1,0)</f>
        <v>0</v>
      </c>
      <c r="Z12" s="22">
        <f>IF(AND(Z$4&gt;=$D12,Z$4&lt;=$E12),1,0)</f>
        <v>0</v>
      </c>
      <c r="AA12" s="22">
        <f>IF(AND(AA$4&gt;=$D12,AA$4&lt;=$E12),1,0)</f>
        <v>0</v>
      </c>
      <c r="AB12" s="22">
        <f>IF(AND(AB$4&gt;=$D12,AB$4&lt;=$E12),1,0)</f>
        <v>0</v>
      </c>
      <c r="AC12" s="22">
        <f>IF(AND(AC$4&gt;=$D12,AC$4&lt;=$E12),1,0)</f>
        <v>0</v>
      </c>
      <c r="AD12" s="22">
        <f>IF(AND(AD$4&gt;=$D12,AD$4&lt;=$E12),1,0)</f>
        <v>0</v>
      </c>
      <c r="AE12" s="22">
        <f>IF(AND(AE$4&gt;=$D12,AE$4&lt;=$E12),1,0)</f>
        <v>0</v>
      </c>
      <c r="AF12" s="22">
        <f>IF(AND(AF$4&gt;=$D12,AF$4&lt;=$E12),1,0)</f>
        <v>0</v>
      </c>
      <c r="AG12" s="22">
        <f>IF(AND(AG$4&gt;=$D12,AG$4&lt;=$E12),1,0)</f>
        <v>0</v>
      </c>
      <c r="AH12" s="22">
        <f>IF(AND(AH$4&gt;=$D12,AH$4&lt;=$E12),1,0)</f>
        <v>0</v>
      </c>
      <c r="AI12" s="22">
        <f>IF(AND(AI$4&gt;=$D12,AI$4&lt;=$E12),1,0)</f>
        <v>0</v>
      </c>
      <c r="AJ12" s="22">
        <f>IF(AND(AJ$4&gt;=$D12,AJ$4&lt;=$E12),1,0)</f>
        <v>0</v>
      </c>
      <c r="AK12" s="22">
        <f>IF(AND(AK$4&gt;=$D12,AK$4&lt;=$E12),1,0)</f>
        <v>0</v>
      </c>
      <c r="AL12" s="22">
        <f>IF(AND(AL$4&gt;=$D12,AL$4&lt;=$E12),1,0)</f>
        <v>0</v>
      </c>
      <c r="AM12" s="22">
        <f>IF(AND(AM$4&gt;=$D12,AM$4&lt;=$E12),1,0)</f>
        <v>0</v>
      </c>
      <c r="AN12" s="22">
        <f>IF(AND(AN$4&gt;=$D12,AN$4&lt;=$E12),1,0)</f>
        <v>0</v>
      </c>
      <c r="AO12" s="22">
        <f>IF(AND(AO$4&gt;=$D12,AO$4&lt;=$E12),1,0)</f>
        <v>0</v>
      </c>
    </row>
    <row r="13" ht="30" customHeight="1">
      <c r="A13" s="11" t="inlineStr">
        <is>
          <t>T03-GD</t>
        </is>
      </c>
      <c r="B13" s="11" t="inlineStr">
        <is>
          <t>Kiểm thử điều khiển và onboarding</t>
        </is>
      </c>
      <c r="C13" s="11" t="inlineStr">
        <is>
          <t>GD</t>
        </is>
      </c>
      <c r="D13" s="11">
        <f>'13_WBS'!G13</f>
        <v>5</v>
      </c>
      <c r="E13" s="11">
        <f>'13_WBS'!H13</f>
        <v>6</v>
      </c>
      <c r="F13" s="21">
        <f>IF(AND(F$4&gt;=$D13,F$4&lt;=$E13),1,0)</f>
        <v>0</v>
      </c>
      <c r="G13" s="21">
        <f>IF(AND(G$4&gt;=$D13,G$4&lt;=$E13),1,0)</f>
        <v>0</v>
      </c>
      <c r="H13" s="21">
        <f>IF(AND(H$4&gt;=$D13,H$4&lt;=$E13),1,0)</f>
        <v>0</v>
      </c>
      <c r="I13" s="21">
        <f>IF(AND(I$4&gt;=$D13,I$4&lt;=$E13),1,0)</f>
        <v>0</v>
      </c>
      <c r="J13" s="21">
        <f>IF(AND(J$4&gt;=$D13,J$4&lt;=$E13),1,0)</f>
        <v>1</v>
      </c>
      <c r="K13" s="21">
        <f>IF(AND(K$4&gt;=$D13,K$4&lt;=$E13),1,0)</f>
        <v>1</v>
      </c>
      <c r="L13" s="21">
        <f>IF(AND(L$4&gt;=$D13,L$4&lt;=$E13),1,0)</f>
        <v>0</v>
      </c>
      <c r="M13" s="21">
        <f>IF(AND(M$4&gt;=$D13,M$4&lt;=$E13),1,0)</f>
        <v>0</v>
      </c>
      <c r="N13" s="21">
        <f>IF(AND(N$4&gt;=$D13,N$4&lt;=$E13),1,0)</f>
        <v>0</v>
      </c>
      <c r="O13" s="21">
        <f>IF(AND(O$4&gt;=$D13,O$4&lt;=$E13),1,0)</f>
        <v>0</v>
      </c>
      <c r="P13" s="21">
        <f>IF(AND(P$4&gt;=$D13,P$4&lt;=$E13),1,0)</f>
        <v>0</v>
      </c>
      <c r="Q13" s="21">
        <f>IF(AND(Q$4&gt;=$D13,Q$4&lt;=$E13),1,0)</f>
        <v>0</v>
      </c>
      <c r="R13" s="21">
        <f>IF(AND(R$4&gt;=$D13,R$4&lt;=$E13),1,0)</f>
        <v>0</v>
      </c>
      <c r="S13" s="21">
        <f>IF(AND(S$4&gt;=$D13,S$4&lt;=$E13),1,0)</f>
        <v>0</v>
      </c>
      <c r="T13" s="21">
        <f>IF(AND(T$4&gt;=$D13,T$4&lt;=$E13),1,0)</f>
        <v>0</v>
      </c>
      <c r="U13" s="21">
        <f>IF(AND(U$4&gt;=$D13,U$4&lt;=$E13),1,0)</f>
        <v>0</v>
      </c>
      <c r="V13" s="21">
        <f>IF(AND(V$4&gt;=$D13,V$4&lt;=$E13),1,0)</f>
        <v>0</v>
      </c>
      <c r="W13" s="21">
        <f>IF(AND(W$4&gt;=$D13,W$4&lt;=$E13),1,0)</f>
        <v>0</v>
      </c>
      <c r="X13" s="21">
        <f>IF(AND(X$4&gt;=$D13,X$4&lt;=$E13),1,0)</f>
        <v>0</v>
      </c>
      <c r="Y13" s="21">
        <f>IF(AND(Y$4&gt;=$D13,Y$4&lt;=$E13),1,0)</f>
        <v>0</v>
      </c>
      <c r="Z13" s="21">
        <f>IF(AND(Z$4&gt;=$D13,Z$4&lt;=$E13),1,0)</f>
        <v>0</v>
      </c>
      <c r="AA13" s="21">
        <f>IF(AND(AA$4&gt;=$D13,AA$4&lt;=$E13),1,0)</f>
        <v>0</v>
      </c>
      <c r="AB13" s="21">
        <f>IF(AND(AB$4&gt;=$D13,AB$4&lt;=$E13),1,0)</f>
        <v>0</v>
      </c>
      <c r="AC13" s="21">
        <f>IF(AND(AC$4&gt;=$D13,AC$4&lt;=$E13),1,0)</f>
        <v>0</v>
      </c>
      <c r="AD13" s="21">
        <f>IF(AND(AD$4&gt;=$D13,AD$4&lt;=$E13),1,0)</f>
        <v>0</v>
      </c>
      <c r="AE13" s="21">
        <f>IF(AND(AE$4&gt;=$D13,AE$4&lt;=$E13),1,0)</f>
        <v>0</v>
      </c>
      <c r="AF13" s="21">
        <f>IF(AND(AF$4&gt;=$D13,AF$4&lt;=$E13),1,0)</f>
        <v>0</v>
      </c>
      <c r="AG13" s="21">
        <f>IF(AND(AG$4&gt;=$D13,AG$4&lt;=$E13),1,0)</f>
        <v>0</v>
      </c>
      <c r="AH13" s="21">
        <f>IF(AND(AH$4&gt;=$D13,AH$4&lt;=$E13),1,0)</f>
        <v>0</v>
      </c>
      <c r="AI13" s="21">
        <f>IF(AND(AI$4&gt;=$D13,AI$4&lt;=$E13),1,0)</f>
        <v>0</v>
      </c>
      <c r="AJ13" s="21">
        <f>IF(AND(AJ$4&gt;=$D13,AJ$4&lt;=$E13),1,0)</f>
        <v>0</v>
      </c>
      <c r="AK13" s="21">
        <f>IF(AND(AK$4&gt;=$D13,AK$4&lt;=$E13),1,0)</f>
        <v>0</v>
      </c>
      <c r="AL13" s="21">
        <f>IF(AND(AL$4&gt;=$D13,AL$4&lt;=$E13),1,0)</f>
        <v>0</v>
      </c>
      <c r="AM13" s="21">
        <f>IF(AND(AM$4&gt;=$D13,AM$4&lt;=$E13),1,0)</f>
        <v>0</v>
      </c>
      <c r="AN13" s="21">
        <f>IF(AND(AN$4&gt;=$D13,AN$4&lt;=$E13),1,0)</f>
        <v>0</v>
      </c>
      <c r="AO13" s="21">
        <f>IF(AND(AO$4&gt;=$D13,AO$4&lt;=$E13),1,0)</f>
        <v>0</v>
      </c>
    </row>
    <row r="14" ht="30" customHeight="1">
      <c r="A14" s="12" t="inlineStr">
        <is>
          <t>T03-CL</t>
        </is>
      </c>
      <c r="B14" s="12" t="inlineStr">
        <is>
          <t>Di chuyển, camera, va chạm và chọn mục tiêu</t>
        </is>
      </c>
      <c r="C14" s="12" t="inlineStr">
        <is>
          <t>CL</t>
        </is>
      </c>
      <c r="D14" s="12">
        <f>'13_WBS'!G14</f>
        <v>5</v>
      </c>
      <c r="E14" s="12">
        <f>'13_WBS'!H14</f>
        <v>6</v>
      </c>
      <c r="F14" s="22">
        <f>IF(AND(F$4&gt;=$D14,F$4&lt;=$E14),1,0)</f>
        <v>0</v>
      </c>
      <c r="G14" s="22">
        <f>IF(AND(G$4&gt;=$D14,G$4&lt;=$E14),1,0)</f>
        <v>0</v>
      </c>
      <c r="H14" s="22">
        <f>IF(AND(H$4&gt;=$D14,H$4&lt;=$E14),1,0)</f>
        <v>0</v>
      </c>
      <c r="I14" s="22">
        <f>IF(AND(I$4&gt;=$D14,I$4&lt;=$E14),1,0)</f>
        <v>0</v>
      </c>
      <c r="J14" s="22">
        <f>IF(AND(J$4&gt;=$D14,J$4&lt;=$E14),1,0)</f>
        <v>1</v>
      </c>
      <c r="K14" s="22">
        <f>IF(AND(K$4&gt;=$D14,K$4&lt;=$E14),1,0)</f>
        <v>1</v>
      </c>
      <c r="L14" s="22">
        <f>IF(AND(L$4&gt;=$D14,L$4&lt;=$E14),1,0)</f>
        <v>0</v>
      </c>
      <c r="M14" s="22">
        <f>IF(AND(M$4&gt;=$D14,M$4&lt;=$E14),1,0)</f>
        <v>0</v>
      </c>
      <c r="N14" s="22">
        <f>IF(AND(N$4&gt;=$D14,N$4&lt;=$E14),1,0)</f>
        <v>0</v>
      </c>
      <c r="O14" s="22">
        <f>IF(AND(O$4&gt;=$D14,O$4&lt;=$E14),1,0)</f>
        <v>0</v>
      </c>
      <c r="P14" s="22">
        <f>IF(AND(P$4&gt;=$D14,P$4&lt;=$E14),1,0)</f>
        <v>0</v>
      </c>
      <c r="Q14" s="22">
        <f>IF(AND(Q$4&gt;=$D14,Q$4&lt;=$E14),1,0)</f>
        <v>0</v>
      </c>
      <c r="R14" s="22">
        <f>IF(AND(R$4&gt;=$D14,R$4&lt;=$E14),1,0)</f>
        <v>0</v>
      </c>
      <c r="S14" s="22">
        <f>IF(AND(S$4&gt;=$D14,S$4&lt;=$E14),1,0)</f>
        <v>0</v>
      </c>
      <c r="T14" s="22">
        <f>IF(AND(T$4&gt;=$D14,T$4&lt;=$E14),1,0)</f>
        <v>0</v>
      </c>
      <c r="U14" s="22">
        <f>IF(AND(U$4&gt;=$D14,U$4&lt;=$E14),1,0)</f>
        <v>0</v>
      </c>
      <c r="V14" s="22">
        <f>IF(AND(V$4&gt;=$D14,V$4&lt;=$E14),1,0)</f>
        <v>0</v>
      </c>
      <c r="W14" s="22">
        <f>IF(AND(W$4&gt;=$D14,W$4&lt;=$E14),1,0)</f>
        <v>0</v>
      </c>
      <c r="X14" s="22">
        <f>IF(AND(X$4&gt;=$D14,X$4&lt;=$E14),1,0)</f>
        <v>0</v>
      </c>
      <c r="Y14" s="22">
        <f>IF(AND(Y$4&gt;=$D14,Y$4&lt;=$E14),1,0)</f>
        <v>0</v>
      </c>
      <c r="Z14" s="22">
        <f>IF(AND(Z$4&gt;=$D14,Z$4&lt;=$E14),1,0)</f>
        <v>0</v>
      </c>
      <c r="AA14" s="22">
        <f>IF(AND(AA$4&gt;=$D14,AA$4&lt;=$E14),1,0)</f>
        <v>0</v>
      </c>
      <c r="AB14" s="22">
        <f>IF(AND(AB$4&gt;=$D14,AB$4&lt;=$E14),1,0)</f>
        <v>0</v>
      </c>
      <c r="AC14" s="22">
        <f>IF(AND(AC$4&gt;=$D14,AC$4&lt;=$E14),1,0)</f>
        <v>0</v>
      </c>
      <c r="AD14" s="22">
        <f>IF(AND(AD$4&gt;=$D14,AD$4&lt;=$E14),1,0)</f>
        <v>0</v>
      </c>
      <c r="AE14" s="22">
        <f>IF(AND(AE$4&gt;=$D14,AE$4&lt;=$E14),1,0)</f>
        <v>0</v>
      </c>
      <c r="AF14" s="22">
        <f>IF(AND(AF$4&gt;=$D14,AF$4&lt;=$E14),1,0)</f>
        <v>0</v>
      </c>
      <c r="AG14" s="22">
        <f>IF(AND(AG$4&gt;=$D14,AG$4&lt;=$E14),1,0)</f>
        <v>0</v>
      </c>
      <c r="AH14" s="22">
        <f>IF(AND(AH$4&gt;=$D14,AH$4&lt;=$E14),1,0)</f>
        <v>0</v>
      </c>
      <c r="AI14" s="22">
        <f>IF(AND(AI$4&gt;=$D14,AI$4&lt;=$E14),1,0)</f>
        <v>0</v>
      </c>
      <c r="AJ14" s="22">
        <f>IF(AND(AJ$4&gt;=$D14,AJ$4&lt;=$E14),1,0)</f>
        <v>0</v>
      </c>
      <c r="AK14" s="22">
        <f>IF(AND(AK$4&gt;=$D14,AK$4&lt;=$E14),1,0)</f>
        <v>0</v>
      </c>
      <c r="AL14" s="22">
        <f>IF(AND(AL$4&gt;=$D14,AL$4&lt;=$E14),1,0)</f>
        <v>0</v>
      </c>
      <c r="AM14" s="22">
        <f>IF(AND(AM$4&gt;=$D14,AM$4&lt;=$E14),1,0)</f>
        <v>0</v>
      </c>
      <c r="AN14" s="22">
        <f>IF(AND(AN$4&gt;=$D14,AN$4&lt;=$E14),1,0)</f>
        <v>0</v>
      </c>
      <c r="AO14" s="22">
        <f>IF(AND(AO$4&gt;=$D14,AO$4&lt;=$E14),1,0)</f>
        <v>0</v>
      </c>
    </row>
    <row r="15" ht="30" customHeight="1">
      <c r="A15" s="11" t="inlineStr">
        <is>
          <t>T03-SV</t>
        </is>
      </c>
      <c r="B15" s="11" t="inlineStr">
        <is>
          <t>Room, quyền vào map và session lease</t>
        </is>
      </c>
      <c r="C15" s="11" t="inlineStr">
        <is>
          <t>SV</t>
        </is>
      </c>
      <c r="D15" s="11">
        <f>'13_WBS'!G15</f>
        <v>5</v>
      </c>
      <c r="E15" s="11">
        <f>'13_WBS'!H15</f>
        <v>6</v>
      </c>
      <c r="F15" s="21">
        <f>IF(AND(F$4&gt;=$D15,F$4&lt;=$E15),1,0)</f>
        <v>0</v>
      </c>
      <c r="G15" s="21">
        <f>IF(AND(G$4&gt;=$D15,G$4&lt;=$E15),1,0)</f>
        <v>0</v>
      </c>
      <c r="H15" s="21">
        <f>IF(AND(H$4&gt;=$D15,H$4&lt;=$E15),1,0)</f>
        <v>0</v>
      </c>
      <c r="I15" s="21">
        <f>IF(AND(I$4&gt;=$D15,I$4&lt;=$E15),1,0)</f>
        <v>0</v>
      </c>
      <c r="J15" s="21">
        <f>IF(AND(J$4&gt;=$D15,J$4&lt;=$E15),1,0)</f>
        <v>1</v>
      </c>
      <c r="K15" s="21">
        <f>IF(AND(K$4&gt;=$D15,K$4&lt;=$E15),1,0)</f>
        <v>1</v>
      </c>
      <c r="L15" s="21">
        <f>IF(AND(L$4&gt;=$D15,L$4&lt;=$E15),1,0)</f>
        <v>0</v>
      </c>
      <c r="M15" s="21">
        <f>IF(AND(M$4&gt;=$D15,M$4&lt;=$E15),1,0)</f>
        <v>0</v>
      </c>
      <c r="N15" s="21">
        <f>IF(AND(N$4&gt;=$D15,N$4&lt;=$E15),1,0)</f>
        <v>0</v>
      </c>
      <c r="O15" s="21">
        <f>IF(AND(O$4&gt;=$D15,O$4&lt;=$E15),1,0)</f>
        <v>0</v>
      </c>
      <c r="P15" s="21">
        <f>IF(AND(P$4&gt;=$D15,P$4&lt;=$E15),1,0)</f>
        <v>0</v>
      </c>
      <c r="Q15" s="21">
        <f>IF(AND(Q$4&gt;=$D15,Q$4&lt;=$E15),1,0)</f>
        <v>0</v>
      </c>
      <c r="R15" s="21">
        <f>IF(AND(R$4&gt;=$D15,R$4&lt;=$E15),1,0)</f>
        <v>0</v>
      </c>
      <c r="S15" s="21">
        <f>IF(AND(S$4&gt;=$D15,S$4&lt;=$E15),1,0)</f>
        <v>0</v>
      </c>
      <c r="T15" s="21">
        <f>IF(AND(T$4&gt;=$D15,T$4&lt;=$E15),1,0)</f>
        <v>0</v>
      </c>
      <c r="U15" s="21">
        <f>IF(AND(U$4&gt;=$D15,U$4&lt;=$E15),1,0)</f>
        <v>0</v>
      </c>
      <c r="V15" s="21">
        <f>IF(AND(V$4&gt;=$D15,V$4&lt;=$E15),1,0)</f>
        <v>0</v>
      </c>
      <c r="W15" s="21">
        <f>IF(AND(W$4&gt;=$D15,W$4&lt;=$E15),1,0)</f>
        <v>0</v>
      </c>
      <c r="X15" s="21">
        <f>IF(AND(X$4&gt;=$D15,X$4&lt;=$E15),1,0)</f>
        <v>0</v>
      </c>
      <c r="Y15" s="21">
        <f>IF(AND(Y$4&gt;=$D15,Y$4&lt;=$E15),1,0)</f>
        <v>0</v>
      </c>
      <c r="Z15" s="21">
        <f>IF(AND(Z$4&gt;=$D15,Z$4&lt;=$E15),1,0)</f>
        <v>0</v>
      </c>
      <c r="AA15" s="21">
        <f>IF(AND(AA$4&gt;=$D15,AA$4&lt;=$E15),1,0)</f>
        <v>0</v>
      </c>
      <c r="AB15" s="21">
        <f>IF(AND(AB$4&gt;=$D15,AB$4&lt;=$E15),1,0)</f>
        <v>0</v>
      </c>
      <c r="AC15" s="21">
        <f>IF(AND(AC$4&gt;=$D15,AC$4&lt;=$E15),1,0)</f>
        <v>0</v>
      </c>
      <c r="AD15" s="21">
        <f>IF(AND(AD$4&gt;=$D15,AD$4&lt;=$E15),1,0)</f>
        <v>0</v>
      </c>
      <c r="AE15" s="21">
        <f>IF(AND(AE$4&gt;=$D15,AE$4&lt;=$E15),1,0)</f>
        <v>0</v>
      </c>
      <c r="AF15" s="21">
        <f>IF(AND(AF$4&gt;=$D15,AF$4&lt;=$E15),1,0)</f>
        <v>0</v>
      </c>
      <c r="AG15" s="21">
        <f>IF(AND(AG$4&gt;=$D15,AG$4&lt;=$E15),1,0)</f>
        <v>0</v>
      </c>
      <c r="AH15" s="21">
        <f>IF(AND(AH$4&gt;=$D15,AH$4&lt;=$E15),1,0)</f>
        <v>0</v>
      </c>
      <c r="AI15" s="21">
        <f>IF(AND(AI$4&gt;=$D15,AI$4&lt;=$E15),1,0)</f>
        <v>0</v>
      </c>
      <c r="AJ15" s="21">
        <f>IF(AND(AJ$4&gt;=$D15,AJ$4&lt;=$E15),1,0)</f>
        <v>0</v>
      </c>
      <c r="AK15" s="21">
        <f>IF(AND(AK$4&gt;=$D15,AK$4&lt;=$E15),1,0)</f>
        <v>0</v>
      </c>
      <c r="AL15" s="21">
        <f>IF(AND(AL$4&gt;=$D15,AL$4&lt;=$E15),1,0)</f>
        <v>0</v>
      </c>
      <c r="AM15" s="21">
        <f>IF(AND(AM$4&gt;=$D15,AM$4&lt;=$E15),1,0)</f>
        <v>0</v>
      </c>
      <c r="AN15" s="21">
        <f>IF(AND(AN$4&gt;=$D15,AN$4&lt;=$E15),1,0)</f>
        <v>0</v>
      </c>
      <c r="AO15" s="21">
        <f>IF(AND(AO$4&gt;=$D15,AO$4&lt;=$E15),1,0)</f>
        <v>0</v>
      </c>
    </row>
    <row r="16" ht="30" customHeight="1">
      <c r="A16" s="12" t="inlineStr">
        <is>
          <t>T03-AR</t>
        </is>
      </c>
      <c r="B16" s="12" t="inlineStr">
        <is>
          <t>Bản đồ thị trấn và bố cục HUD</t>
        </is>
      </c>
      <c r="C16" s="12" t="inlineStr">
        <is>
          <t>AR</t>
        </is>
      </c>
      <c r="D16" s="12">
        <f>'13_WBS'!G16</f>
        <v>5</v>
      </c>
      <c r="E16" s="12">
        <f>'13_WBS'!H16</f>
        <v>6</v>
      </c>
      <c r="F16" s="22">
        <f>IF(AND(F$4&gt;=$D16,F$4&lt;=$E16),1,0)</f>
        <v>0</v>
      </c>
      <c r="G16" s="22">
        <f>IF(AND(G$4&gt;=$D16,G$4&lt;=$E16),1,0)</f>
        <v>0</v>
      </c>
      <c r="H16" s="22">
        <f>IF(AND(H$4&gt;=$D16,H$4&lt;=$E16),1,0)</f>
        <v>0</v>
      </c>
      <c r="I16" s="22">
        <f>IF(AND(I$4&gt;=$D16,I$4&lt;=$E16),1,0)</f>
        <v>0</v>
      </c>
      <c r="J16" s="22">
        <f>IF(AND(J$4&gt;=$D16,J$4&lt;=$E16),1,0)</f>
        <v>1</v>
      </c>
      <c r="K16" s="22">
        <f>IF(AND(K$4&gt;=$D16,K$4&lt;=$E16),1,0)</f>
        <v>1</v>
      </c>
      <c r="L16" s="22">
        <f>IF(AND(L$4&gt;=$D16,L$4&lt;=$E16),1,0)</f>
        <v>0</v>
      </c>
      <c r="M16" s="22">
        <f>IF(AND(M$4&gt;=$D16,M$4&lt;=$E16),1,0)</f>
        <v>0</v>
      </c>
      <c r="N16" s="22">
        <f>IF(AND(N$4&gt;=$D16,N$4&lt;=$E16),1,0)</f>
        <v>0</v>
      </c>
      <c r="O16" s="22">
        <f>IF(AND(O$4&gt;=$D16,O$4&lt;=$E16),1,0)</f>
        <v>0</v>
      </c>
      <c r="P16" s="22">
        <f>IF(AND(P$4&gt;=$D16,P$4&lt;=$E16),1,0)</f>
        <v>0</v>
      </c>
      <c r="Q16" s="22">
        <f>IF(AND(Q$4&gt;=$D16,Q$4&lt;=$E16),1,0)</f>
        <v>0</v>
      </c>
      <c r="R16" s="22">
        <f>IF(AND(R$4&gt;=$D16,R$4&lt;=$E16),1,0)</f>
        <v>0</v>
      </c>
      <c r="S16" s="22">
        <f>IF(AND(S$4&gt;=$D16,S$4&lt;=$E16),1,0)</f>
        <v>0</v>
      </c>
      <c r="T16" s="22">
        <f>IF(AND(T$4&gt;=$D16,T$4&lt;=$E16),1,0)</f>
        <v>0</v>
      </c>
      <c r="U16" s="22">
        <f>IF(AND(U$4&gt;=$D16,U$4&lt;=$E16),1,0)</f>
        <v>0</v>
      </c>
      <c r="V16" s="22">
        <f>IF(AND(V$4&gt;=$D16,V$4&lt;=$E16),1,0)</f>
        <v>0</v>
      </c>
      <c r="W16" s="22">
        <f>IF(AND(W$4&gt;=$D16,W$4&lt;=$E16),1,0)</f>
        <v>0</v>
      </c>
      <c r="X16" s="22">
        <f>IF(AND(X$4&gt;=$D16,X$4&lt;=$E16),1,0)</f>
        <v>0</v>
      </c>
      <c r="Y16" s="22">
        <f>IF(AND(Y$4&gt;=$D16,Y$4&lt;=$E16),1,0)</f>
        <v>0</v>
      </c>
      <c r="Z16" s="22">
        <f>IF(AND(Z$4&gt;=$D16,Z$4&lt;=$E16),1,0)</f>
        <v>0</v>
      </c>
      <c r="AA16" s="22">
        <f>IF(AND(AA$4&gt;=$D16,AA$4&lt;=$E16),1,0)</f>
        <v>0</v>
      </c>
      <c r="AB16" s="22">
        <f>IF(AND(AB$4&gt;=$D16,AB$4&lt;=$E16),1,0)</f>
        <v>0</v>
      </c>
      <c r="AC16" s="22">
        <f>IF(AND(AC$4&gt;=$D16,AC$4&lt;=$E16),1,0)</f>
        <v>0</v>
      </c>
      <c r="AD16" s="22">
        <f>IF(AND(AD$4&gt;=$D16,AD$4&lt;=$E16),1,0)</f>
        <v>0</v>
      </c>
      <c r="AE16" s="22">
        <f>IF(AND(AE$4&gt;=$D16,AE$4&lt;=$E16),1,0)</f>
        <v>0</v>
      </c>
      <c r="AF16" s="22">
        <f>IF(AND(AF$4&gt;=$D16,AF$4&lt;=$E16),1,0)</f>
        <v>0</v>
      </c>
      <c r="AG16" s="22">
        <f>IF(AND(AG$4&gt;=$D16,AG$4&lt;=$E16),1,0)</f>
        <v>0</v>
      </c>
      <c r="AH16" s="22">
        <f>IF(AND(AH$4&gt;=$D16,AH$4&lt;=$E16),1,0)</f>
        <v>0</v>
      </c>
      <c r="AI16" s="22">
        <f>IF(AND(AI$4&gt;=$D16,AI$4&lt;=$E16),1,0)</f>
        <v>0</v>
      </c>
      <c r="AJ16" s="22">
        <f>IF(AND(AJ$4&gt;=$D16,AJ$4&lt;=$E16),1,0)</f>
        <v>0</v>
      </c>
      <c r="AK16" s="22">
        <f>IF(AND(AK$4&gt;=$D16,AK$4&lt;=$E16),1,0)</f>
        <v>0</v>
      </c>
      <c r="AL16" s="22">
        <f>IF(AND(AL$4&gt;=$D16,AL$4&lt;=$E16),1,0)</f>
        <v>0</v>
      </c>
      <c r="AM16" s="22">
        <f>IF(AND(AM$4&gt;=$D16,AM$4&lt;=$E16),1,0)</f>
        <v>0</v>
      </c>
      <c r="AN16" s="22">
        <f>IF(AND(AN$4&gt;=$D16,AN$4&lt;=$E16),1,0)</f>
        <v>0</v>
      </c>
      <c r="AO16" s="22">
        <f>IF(AND(AO$4&gt;=$D16,AO$4&lt;=$E16),1,0)</f>
        <v>0</v>
      </c>
    </row>
    <row r="17" ht="30" customHeight="1">
      <c r="A17" s="11" t="inlineStr">
        <is>
          <t>T04-GD</t>
        </is>
      </c>
      <c r="B17" s="11" t="inlineStr">
        <is>
          <t>Gate G1 — thử hai client và lỗi mạng</t>
        </is>
      </c>
      <c r="C17" s="11" t="inlineStr">
        <is>
          <t>GD</t>
        </is>
      </c>
      <c r="D17" s="11">
        <f>'13_WBS'!G17</f>
        <v>7</v>
      </c>
      <c r="E17" s="11">
        <f>'13_WBS'!H17</f>
        <v>8</v>
      </c>
      <c r="F17" s="21">
        <f>IF(AND(F$4&gt;=$D17,F$4&lt;=$E17),1,0)</f>
        <v>0</v>
      </c>
      <c r="G17" s="21">
        <f>IF(AND(G$4&gt;=$D17,G$4&lt;=$E17),1,0)</f>
        <v>0</v>
      </c>
      <c r="H17" s="21">
        <f>IF(AND(H$4&gt;=$D17,H$4&lt;=$E17),1,0)</f>
        <v>0</v>
      </c>
      <c r="I17" s="21">
        <f>IF(AND(I$4&gt;=$D17,I$4&lt;=$E17),1,0)</f>
        <v>0</v>
      </c>
      <c r="J17" s="21">
        <f>IF(AND(J$4&gt;=$D17,J$4&lt;=$E17),1,0)</f>
        <v>0</v>
      </c>
      <c r="K17" s="21">
        <f>IF(AND(K$4&gt;=$D17,K$4&lt;=$E17),1,0)</f>
        <v>0</v>
      </c>
      <c r="L17" s="21">
        <f>IF(AND(L$4&gt;=$D17,L$4&lt;=$E17),1,0)</f>
        <v>1</v>
      </c>
      <c r="M17" s="21">
        <f>IF(AND(M$4&gt;=$D17,M$4&lt;=$E17),1,0)</f>
        <v>1</v>
      </c>
      <c r="N17" s="21">
        <f>IF(AND(N$4&gt;=$D17,N$4&lt;=$E17),1,0)</f>
        <v>0</v>
      </c>
      <c r="O17" s="21">
        <f>IF(AND(O$4&gt;=$D17,O$4&lt;=$E17),1,0)</f>
        <v>0</v>
      </c>
      <c r="P17" s="21">
        <f>IF(AND(P$4&gt;=$D17,P$4&lt;=$E17),1,0)</f>
        <v>0</v>
      </c>
      <c r="Q17" s="21">
        <f>IF(AND(Q$4&gt;=$D17,Q$4&lt;=$E17),1,0)</f>
        <v>0</v>
      </c>
      <c r="R17" s="21">
        <f>IF(AND(R$4&gt;=$D17,R$4&lt;=$E17),1,0)</f>
        <v>0</v>
      </c>
      <c r="S17" s="21">
        <f>IF(AND(S$4&gt;=$D17,S$4&lt;=$E17),1,0)</f>
        <v>0</v>
      </c>
      <c r="T17" s="21">
        <f>IF(AND(T$4&gt;=$D17,T$4&lt;=$E17),1,0)</f>
        <v>0</v>
      </c>
      <c r="U17" s="21">
        <f>IF(AND(U$4&gt;=$D17,U$4&lt;=$E17),1,0)</f>
        <v>0</v>
      </c>
      <c r="V17" s="21">
        <f>IF(AND(V$4&gt;=$D17,V$4&lt;=$E17),1,0)</f>
        <v>0</v>
      </c>
      <c r="W17" s="21">
        <f>IF(AND(W$4&gt;=$D17,W$4&lt;=$E17),1,0)</f>
        <v>0</v>
      </c>
      <c r="X17" s="21">
        <f>IF(AND(X$4&gt;=$D17,X$4&lt;=$E17),1,0)</f>
        <v>0</v>
      </c>
      <c r="Y17" s="21">
        <f>IF(AND(Y$4&gt;=$D17,Y$4&lt;=$E17),1,0)</f>
        <v>0</v>
      </c>
      <c r="Z17" s="21">
        <f>IF(AND(Z$4&gt;=$D17,Z$4&lt;=$E17),1,0)</f>
        <v>0</v>
      </c>
      <c r="AA17" s="21">
        <f>IF(AND(AA$4&gt;=$D17,AA$4&lt;=$E17),1,0)</f>
        <v>0</v>
      </c>
      <c r="AB17" s="21">
        <f>IF(AND(AB$4&gt;=$D17,AB$4&lt;=$E17),1,0)</f>
        <v>0</v>
      </c>
      <c r="AC17" s="21">
        <f>IF(AND(AC$4&gt;=$D17,AC$4&lt;=$E17),1,0)</f>
        <v>0</v>
      </c>
      <c r="AD17" s="21">
        <f>IF(AND(AD$4&gt;=$D17,AD$4&lt;=$E17),1,0)</f>
        <v>0</v>
      </c>
      <c r="AE17" s="21">
        <f>IF(AND(AE$4&gt;=$D17,AE$4&lt;=$E17),1,0)</f>
        <v>0</v>
      </c>
      <c r="AF17" s="21">
        <f>IF(AND(AF$4&gt;=$D17,AF$4&lt;=$E17),1,0)</f>
        <v>0</v>
      </c>
      <c r="AG17" s="21">
        <f>IF(AND(AG$4&gt;=$D17,AG$4&lt;=$E17),1,0)</f>
        <v>0</v>
      </c>
      <c r="AH17" s="21">
        <f>IF(AND(AH$4&gt;=$D17,AH$4&lt;=$E17),1,0)</f>
        <v>0</v>
      </c>
      <c r="AI17" s="21">
        <f>IF(AND(AI$4&gt;=$D17,AI$4&lt;=$E17),1,0)</f>
        <v>0</v>
      </c>
      <c r="AJ17" s="21">
        <f>IF(AND(AJ$4&gt;=$D17,AJ$4&lt;=$E17),1,0)</f>
        <v>0</v>
      </c>
      <c r="AK17" s="21">
        <f>IF(AND(AK$4&gt;=$D17,AK$4&lt;=$E17),1,0)</f>
        <v>0</v>
      </c>
      <c r="AL17" s="21">
        <f>IF(AND(AL$4&gt;=$D17,AL$4&lt;=$E17),1,0)</f>
        <v>0</v>
      </c>
      <c r="AM17" s="21">
        <f>IF(AND(AM$4&gt;=$D17,AM$4&lt;=$E17),1,0)</f>
        <v>0</v>
      </c>
      <c r="AN17" s="21">
        <f>IF(AND(AN$4&gt;=$D17,AN$4&lt;=$E17),1,0)</f>
        <v>0</v>
      </c>
      <c r="AO17" s="21">
        <f>IF(AND(AO$4&gt;=$D17,AO$4&lt;=$E17),1,0)</f>
        <v>0</v>
      </c>
    </row>
    <row r="18" ht="30" customHeight="1">
      <c r="A18" s="12" t="inlineStr">
        <is>
          <t>T04-CL</t>
        </is>
      </c>
      <c r="B18" s="12" t="inlineStr">
        <is>
          <t>Tích hợp đồng bộ và nội suy</t>
        </is>
      </c>
      <c r="C18" s="12" t="inlineStr">
        <is>
          <t>CL</t>
        </is>
      </c>
      <c r="D18" s="12">
        <f>'13_WBS'!G18</f>
        <v>7</v>
      </c>
      <c r="E18" s="12">
        <f>'13_WBS'!H18</f>
        <v>8</v>
      </c>
      <c r="F18" s="22">
        <f>IF(AND(F$4&gt;=$D18,F$4&lt;=$E18),1,0)</f>
        <v>0</v>
      </c>
      <c r="G18" s="22">
        <f>IF(AND(G$4&gt;=$D18,G$4&lt;=$E18),1,0)</f>
        <v>0</v>
      </c>
      <c r="H18" s="22">
        <f>IF(AND(H$4&gt;=$D18,H$4&lt;=$E18),1,0)</f>
        <v>0</v>
      </c>
      <c r="I18" s="22">
        <f>IF(AND(I$4&gt;=$D18,I$4&lt;=$E18),1,0)</f>
        <v>0</v>
      </c>
      <c r="J18" s="22">
        <f>IF(AND(J$4&gt;=$D18,J$4&lt;=$E18),1,0)</f>
        <v>0</v>
      </c>
      <c r="K18" s="22">
        <f>IF(AND(K$4&gt;=$D18,K$4&lt;=$E18),1,0)</f>
        <v>0</v>
      </c>
      <c r="L18" s="22">
        <f>IF(AND(L$4&gt;=$D18,L$4&lt;=$E18),1,0)</f>
        <v>1</v>
      </c>
      <c r="M18" s="22">
        <f>IF(AND(M$4&gt;=$D18,M$4&lt;=$E18),1,0)</f>
        <v>1</v>
      </c>
      <c r="N18" s="22">
        <f>IF(AND(N$4&gt;=$D18,N$4&lt;=$E18),1,0)</f>
        <v>0</v>
      </c>
      <c r="O18" s="22">
        <f>IF(AND(O$4&gt;=$D18,O$4&lt;=$E18),1,0)</f>
        <v>0</v>
      </c>
      <c r="P18" s="22">
        <f>IF(AND(P$4&gt;=$D18,P$4&lt;=$E18),1,0)</f>
        <v>0</v>
      </c>
      <c r="Q18" s="22">
        <f>IF(AND(Q$4&gt;=$D18,Q$4&lt;=$E18),1,0)</f>
        <v>0</v>
      </c>
      <c r="R18" s="22">
        <f>IF(AND(R$4&gt;=$D18,R$4&lt;=$E18),1,0)</f>
        <v>0</v>
      </c>
      <c r="S18" s="22">
        <f>IF(AND(S$4&gt;=$D18,S$4&lt;=$E18),1,0)</f>
        <v>0</v>
      </c>
      <c r="T18" s="22">
        <f>IF(AND(T$4&gt;=$D18,T$4&lt;=$E18),1,0)</f>
        <v>0</v>
      </c>
      <c r="U18" s="22">
        <f>IF(AND(U$4&gt;=$D18,U$4&lt;=$E18),1,0)</f>
        <v>0</v>
      </c>
      <c r="V18" s="22">
        <f>IF(AND(V$4&gt;=$D18,V$4&lt;=$E18),1,0)</f>
        <v>0</v>
      </c>
      <c r="W18" s="22">
        <f>IF(AND(W$4&gt;=$D18,W$4&lt;=$E18),1,0)</f>
        <v>0</v>
      </c>
      <c r="X18" s="22">
        <f>IF(AND(X$4&gt;=$D18,X$4&lt;=$E18),1,0)</f>
        <v>0</v>
      </c>
      <c r="Y18" s="22">
        <f>IF(AND(Y$4&gt;=$D18,Y$4&lt;=$E18),1,0)</f>
        <v>0</v>
      </c>
      <c r="Z18" s="22">
        <f>IF(AND(Z$4&gt;=$D18,Z$4&lt;=$E18),1,0)</f>
        <v>0</v>
      </c>
      <c r="AA18" s="22">
        <f>IF(AND(AA$4&gt;=$D18,AA$4&lt;=$E18),1,0)</f>
        <v>0</v>
      </c>
      <c r="AB18" s="22">
        <f>IF(AND(AB$4&gt;=$D18,AB$4&lt;=$E18),1,0)</f>
        <v>0</v>
      </c>
      <c r="AC18" s="22">
        <f>IF(AND(AC$4&gt;=$D18,AC$4&lt;=$E18),1,0)</f>
        <v>0</v>
      </c>
      <c r="AD18" s="22">
        <f>IF(AND(AD$4&gt;=$D18,AD$4&lt;=$E18),1,0)</f>
        <v>0</v>
      </c>
      <c r="AE18" s="22">
        <f>IF(AND(AE$4&gt;=$D18,AE$4&lt;=$E18),1,0)</f>
        <v>0</v>
      </c>
      <c r="AF18" s="22">
        <f>IF(AND(AF$4&gt;=$D18,AF$4&lt;=$E18),1,0)</f>
        <v>0</v>
      </c>
      <c r="AG18" s="22">
        <f>IF(AND(AG$4&gt;=$D18,AG$4&lt;=$E18),1,0)</f>
        <v>0</v>
      </c>
      <c r="AH18" s="22">
        <f>IF(AND(AH$4&gt;=$D18,AH$4&lt;=$E18),1,0)</f>
        <v>0</v>
      </c>
      <c r="AI18" s="22">
        <f>IF(AND(AI$4&gt;=$D18,AI$4&lt;=$E18),1,0)</f>
        <v>0</v>
      </c>
      <c r="AJ18" s="22">
        <f>IF(AND(AJ$4&gt;=$D18,AJ$4&lt;=$E18),1,0)</f>
        <v>0</v>
      </c>
      <c r="AK18" s="22">
        <f>IF(AND(AK$4&gt;=$D18,AK$4&lt;=$E18),1,0)</f>
        <v>0</v>
      </c>
      <c r="AL18" s="22">
        <f>IF(AND(AL$4&gt;=$D18,AL$4&lt;=$E18),1,0)</f>
        <v>0</v>
      </c>
      <c r="AM18" s="22">
        <f>IF(AND(AM$4&gt;=$D18,AM$4&lt;=$E18),1,0)</f>
        <v>0</v>
      </c>
      <c r="AN18" s="22">
        <f>IF(AND(AN$4&gt;=$D18,AN$4&lt;=$E18),1,0)</f>
        <v>0</v>
      </c>
      <c r="AO18" s="22">
        <f>IF(AND(AO$4&gt;=$D18,AO$4&lt;=$E18),1,0)</f>
        <v>0</v>
      </c>
    </row>
    <row r="19" ht="30" customHeight="1">
      <c r="A19" s="11" t="inlineStr">
        <is>
          <t>T04-SV</t>
        </is>
      </c>
      <c r="B19" s="11" t="inlineStr">
        <is>
          <t>Di chuyển authoritative và AOI</t>
        </is>
      </c>
      <c r="C19" s="11" t="inlineStr">
        <is>
          <t>SV</t>
        </is>
      </c>
      <c r="D19" s="11">
        <f>'13_WBS'!G19</f>
        <v>7</v>
      </c>
      <c r="E19" s="11">
        <f>'13_WBS'!H19</f>
        <v>8</v>
      </c>
      <c r="F19" s="21">
        <f>IF(AND(F$4&gt;=$D19,F$4&lt;=$E19),1,0)</f>
        <v>0</v>
      </c>
      <c r="G19" s="21">
        <f>IF(AND(G$4&gt;=$D19,G$4&lt;=$E19),1,0)</f>
        <v>0</v>
      </c>
      <c r="H19" s="21">
        <f>IF(AND(H$4&gt;=$D19,H$4&lt;=$E19),1,0)</f>
        <v>0</v>
      </c>
      <c r="I19" s="21">
        <f>IF(AND(I$4&gt;=$D19,I$4&lt;=$E19),1,0)</f>
        <v>0</v>
      </c>
      <c r="J19" s="21">
        <f>IF(AND(J$4&gt;=$D19,J$4&lt;=$E19),1,0)</f>
        <v>0</v>
      </c>
      <c r="K19" s="21">
        <f>IF(AND(K$4&gt;=$D19,K$4&lt;=$E19),1,0)</f>
        <v>0</v>
      </c>
      <c r="L19" s="21">
        <f>IF(AND(L$4&gt;=$D19,L$4&lt;=$E19),1,0)</f>
        <v>1</v>
      </c>
      <c r="M19" s="21">
        <f>IF(AND(M$4&gt;=$D19,M$4&lt;=$E19),1,0)</f>
        <v>1</v>
      </c>
      <c r="N19" s="21">
        <f>IF(AND(N$4&gt;=$D19,N$4&lt;=$E19),1,0)</f>
        <v>0</v>
      </c>
      <c r="O19" s="21">
        <f>IF(AND(O$4&gt;=$D19,O$4&lt;=$E19),1,0)</f>
        <v>0</v>
      </c>
      <c r="P19" s="21">
        <f>IF(AND(P$4&gt;=$D19,P$4&lt;=$E19),1,0)</f>
        <v>0</v>
      </c>
      <c r="Q19" s="21">
        <f>IF(AND(Q$4&gt;=$D19,Q$4&lt;=$E19),1,0)</f>
        <v>0</v>
      </c>
      <c r="R19" s="21">
        <f>IF(AND(R$4&gt;=$D19,R$4&lt;=$E19),1,0)</f>
        <v>0</v>
      </c>
      <c r="S19" s="21">
        <f>IF(AND(S$4&gt;=$D19,S$4&lt;=$E19),1,0)</f>
        <v>0</v>
      </c>
      <c r="T19" s="21">
        <f>IF(AND(T$4&gt;=$D19,T$4&lt;=$E19),1,0)</f>
        <v>0</v>
      </c>
      <c r="U19" s="21">
        <f>IF(AND(U$4&gt;=$D19,U$4&lt;=$E19),1,0)</f>
        <v>0</v>
      </c>
      <c r="V19" s="21">
        <f>IF(AND(V$4&gt;=$D19,V$4&lt;=$E19),1,0)</f>
        <v>0</v>
      </c>
      <c r="W19" s="21">
        <f>IF(AND(W$4&gt;=$D19,W$4&lt;=$E19),1,0)</f>
        <v>0</v>
      </c>
      <c r="X19" s="21">
        <f>IF(AND(X$4&gt;=$D19,X$4&lt;=$E19),1,0)</f>
        <v>0</v>
      </c>
      <c r="Y19" s="21">
        <f>IF(AND(Y$4&gt;=$D19,Y$4&lt;=$E19),1,0)</f>
        <v>0</v>
      </c>
      <c r="Z19" s="21">
        <f>IF(AND(Z$4&gt;=$D19,Z$4&lt;=$E19),1,0)</f>
        <v>0</v>
      </c>
      <c r="AA19" s="21">
        <f>IF(AND(AA$4&gt;=$D19,AA$4&lt;=$E19),1,0)</f>
        <v>0</v>
      </c>
      <c r="AB19" s="21">
        <f>IF(AND(AB$4&gt;=$D19,AB$4&lt;=$E19),1,0)</f>
        <v>0</v>
      </c>
      <c r="AC19" s="21">
        <f>IF(AND(AC$4&gt;=$D19,AC$4&lt;=$E19),1,0)</f>
        <v>0</v>
      </c>
      <c r="AD19" s="21">
        <f>IF(AND(AD$4&gt;=$D19,AD$4&lt;=$E19),1,0)</f>
        <v>0</v>
      </c>
      <c r="AE19" s="21">
        <f>IF(AND(AE$4&gt;=$D19,AE$4&lt;=$E19),1,0)</f>
        <v>0</v>
      </c>
      <c r="AF19" s="21">
        <f>IF(AND(AF$4&gt;=$D19,AF$4&lt;=$E19),1,0)</f>
        <v>0</v>
      </c>
      <c r="AG19" s="21">
        <f>IF(AND(AG$4&gt;=$D19,AG$4&lt;=$E19),1,0)</f>
        <v>0</v>
      </c>
      <c r="AH19" s="21">
        <f>IF(AND(AH$4&gt;=$D19,AH$4&lt;=$E19),1,0)</f>
        <v>0</v>
      </c>
      <c r="AI19" s="21">
        <f>IF(AND(AI$4&gt;=$D19,AI$4&lt;=$E19),1,0)</f>
        <v>0</v>
      </c>
      <c r="AJ19" s="21">
        <f>IF(AND(AJ$4&gt;=$D19,AJ$4&lt;=$E19),1,0)</f>
        <v>0</v>
      </c>
      <c r="AK19" s="21">
        <f>IF(AND(AK$4&gt;=$D19,AK$4&lt;=$E19),1,0)</f>
        <v>0</v>
      </c>
      <c r="AL19" s="21">
        <f>IF(AND(AL$4&gt;=$D19,AL$4&lt;=$E19),1,0)</f>
        <v>0</v>
      </c>
      <c r="AM19" s="21">
        <f>IF(AND(AM$4&gt;=$D19,AM$4&lt;=$E19),1,0)</f>
        <v>0</v>
      </c>
      <c r="AN19" s="21">
        <f>IF(AND(AN$4&gt;=$D19,AN$4&lt;=$E19),1,0)</f>
        <v>0</v>
      </c>
      <c r="AO19" s="21">
        <f>IF(AND(AO$4&gt;=$D19,AO$4&lt;=$E19),1,0)</f>
        <v>0</v>
      </c>
    </row>
    <row r="20" ht="30" customHeight="1">
      <c r="A20" s="12" t="inlineStr">
        <is>
          <t>T04-AR</t>
        </is>
      </c>
      <c r="B20" s="12" t="inlineStr">
        <is>
          <t>Hoàn thiện HUD nền và feed back di chuyển</t>
        </is>
      </c>
      <c r="C20" s="12" t="inlineStr">
        <is>
          <t>AR</t>
        </is>
      </c>
      <c r="D20" s="12">
        <f>'13_WBS'!G20</f>
        <v>7</v>
      </c>
      <c r="E20" s="12">
        <f>'13_WBS'!H20</f>
        <v>8</v>
      </c>
      <c r="F20" s="22">
        <f>IF(AND(F$4&gt;=$D20,F$4&lt;=$E20),1,0)</f>
        <v>0</v>
      </c>
      <c r="G20" s="22">
        <f>IF(AND(G$4&gt;=$D20,G$4&lt;=$E20),1,0)</f>
        <v>0</v>
      </c>
      <c r="H20" s="22">
        <f>IF(AND(H$4&gt;=$D20,H$4&lt;=$E20),1,0)</f>
        <v>0</v>
      </c>
      <c r="I20" s="22">
        <f>IF(AND(I$4&gt;=$D20,I$4&lt;=$E20),1,0)</f>
        <v>0</v>
      </c>
      <c r="J20" s="22">
        <f>IF(AND(J$4&gt;=$D20,J$4&lt;=$E20),1,0)</f>
        <v>0</v>
      </c>
      <c r="K20" s="22">
        <f>IF(AND(K$4&gt;=$D20,K$4&lt;=$E20),1,0)</f>
        <v>0</v>
      </c>
      <c r="L20" s="22">
        <f>IF(AND(L$4&gt;=$D20,L$4&lt;=$E20),1,0)</f>
        <v>1</v>
      </c>
      <c r="M20" s="22">
        <f>IF(AND(M$4&gt;=$D20,M$4&lt;=$E20),1,0)</f>
        <v>1</v>
      </c>
      <c r="N20" s="22">
        <f>IF(AND(N$4&gt;=$D20,N$4&lt;=$E20),1,0)</f>
        <v>0</v>
      </c>
      <c r="O20" s="22">
        <f>IF(AND(O$4&gt;=$D20,O$4&lt;=$E20),1,0)</f>
        <v>0</v>
      </c>
      <c r="P20" s="22">
        <f>IF(AND(P$4&gt;=$D20,P$4&lt;=$E20),1,0)</f>
        <v>0</v>
      </c>
      <c r="Q20" s="22">
        <f>IF(AND(Q$4&gt;=$D20,Q$4&lt;=$E20),1,0)</f>
        <v>0</v>
      </c>
      <c r="R20" s="22">
        <f>IF(AND(R$4&gt;=$D20,R$4&lt;=$E20),1,0)</f>
        <v>0</v>
      </c>
      <c r="S20" s="22">
        <f>IF(AND(S$4&gt;=$D20,S$4&lt;=$E20),1,0)</f>
        <v>0</v>
      </c>
      <c r="T20" s="22">
        <f>IF(AND(T$4&gt;=$D20,T$4&lt;=$E20),1,0)</f>
        <v>0</v>
      </c>
      <c r="U20" s="22">
        <f>IF(AND(U$4&gt;=$D20,U$4&lt;=$E20),1,0)</f>
        <v>0</v>
      </c>
      <c r="V20" s="22">
        <f>IF(AND(V$4&gt;=$D20,V$4&lt;=$E20),1,0)</f>
        <v>0</v>
      </c>
      <c r="W20" s="22">
        <f>IF(AND(W$4&gt;=$D20,W$4&lt;=$E20),1,0)</f>
        <v>0</v>
      </c>
      <c r="X20" s="22">
        <f>IF(AND(X$4&gt;=$D20,X$4&lt;=$E20),1,0)</f>
        <v>0</v>
      </c>
      <c r="Y20" s="22">
        <f>IF(AND(Y$4&gt;=$D20,Y$4&lt;=$E20),1,0)</f>
        <v>0</v>
      </c>
      <c r="Z20" s="22">
        <f>IF(AND(Z$4&gt;=$D20,Z$4&lt;=$E20),1,0)</f>
        <v>0</v>
      </c>
      <c r="AA20" s="22">
        <f>IF(AND(AA$4&gt;=$D20,AA$4&lt;=$E20),1,0)</f>
        <v>0</v>
      </c>
      <c r="AB20" s="22">
        <f>IF(AND(AB$4&gt;=$D20,AB$4&lt;=$E20),1,0)</f>
        <v>0</v>
      </c>
      <c r="AC20" s="22">
        <f>IF(AND(AC$4&gt;=$D20,AC$4&lt;=$E20),1,0)</f>
        <v>0</v>
      </c>
      <c r="AD20" s="22">
        <f>IF(AND(AD$4&gt;=$D20,AD$4&lt;=$E20),1,0)</f>
        <v>0</v>
      </c>
      <c r="AE20" s="22">
        <f>IF(AND(AE$4&gt;=$D20,AE$4&lt;=$E20),1,0)</f>
        <v>0</v>
      </c>
      <c r="AF20" s="22">
        <f>IF(AND(AF$4&gt;=$D20,AF$4&lt;=$E20),1,0)</f>
        <v>0</v>
      </c>
      <c r="AG20" s="22">
        <f>IF(AND(AG$4&gt;=$D20,AG$4&lt;=$E20),1,0)</f>
        <v>0</v>
      </c>
      <c r="AH20" s="22">
        <f>IF(AND(AH$4&gt;=$D20,AH$4&lt;=$E20),1,0)</f>
        <v>0</v>
      </c>
      <c r="AI20" s="22">
        <f>IF(AND(AI$4&gt;=$D20,AI$4&lt;=$E20),1,0)</f>
        <v>0</v>
      </c>
      <c r="AJ20" s="22">
        <f>IF(AND(AJ$4&gt;=$D20,AJ$4&lt;=$E20),1,0)</f>
        <v>0</v>
      </c>
      <c r="AK20" s="22">
        <f>IF(AND(AK$4&gt;=$D20,AK$4&lt;=$E20),1,0)</f>
        <v>0</v>
      </c>
      <c r="AL20" s="22">
        <f>IF(AND(AL$4&gt;=$D20,AL$4&lt;=$E20),1,0)</f>
        <v>0</v>
      </c>
      <c r="AM20" s="22">
        <f>IF(AND(AM$4&gt;=$D20,AM$4&lt;=$E20),1,0)</f>
        <v>0</v>
      </c>
      <c r="AN20" s="22">
        <f>IF(AND(AN$4&gt;=$D20,AN$4&lt;=$E20),1,0)</f>
        <v>0</v>
      </c>
      <c r="AO20" s="22">
        <f>IF(AND(AO$4&gt;=$D20,AO$4&lt;=$E20),1,0)</f>
        <v>0</v>
      </c>
    </row>
    <row r="21" ht="30" customHeight="1">
      <c r="A21" s="11" t="inlineStr">
        <is>
          <t>T05-GD</t>
        </is>
      </c>
      <c r="B21" s="11" t="inlineStr">
        <is>
          <t>Cân bằng 5 Cổ và combat test cases</t>
        </is>
      </c>
      <c r="C21" s="11" t="inlineStr">
        <is>
          <t>GD</t>
        </is>
      </c>
      <c r="D21" s="11">
        <f>'13_WBS'!G21</f>
        <v>9</v>
      </c>
      <c r="E21" s="11">
        <f>'13_WBS'!H21</f>
        <v>10</v>
      </c>
      <c r="F21" s="21">
        <f>IF(AND(F$4&gt;=$D21,F$4&lt;=$E21),1,0)</f>
        <v>0</v>
      </c>
      <c r="G21" s="21">
        <f>IF(AND(G$4&gt;=$D21,G$4&lt;=$E21),1,0)</f>
        <v>0</v>
      </c>
      <c r="H21" s="21">
        <f>IF(AND(H$4&gt;=$D21,H$4&lt;=$E21),1,0)</f>
        <v>0</v>
      </c>
      <c r="I21" s="21">
        <f>IF(AND(I$4&gt;=$D21,I$4&lt;=$E21),1,0)</f>
        <v>0</v>
      </c>
      <c r="J21" s="21">
        <f>IF(AND(J$4&gt;=$D21,J$4&lt;=$E21),1,0)</f>
        <v>0</v>
      </c>
      <c r="K21" s="21">
        <f>IF(AND(K$4&gt;=$D21,K$4&lt;=$E21),1,0)</f>
        <v>0</v>
      </c>
      <c r="L21" s="21">
        <f>IF(AND(L$4&gt;=$D21,L$4&lt;=$E21),1,0)</f>
        <v>0</v>
      </c>
      <c r="M21" s="21">
        <f>IF(AND(M$4&gt;=$D21,M$4&lt;=$E21),1,0)</f>
        <v>0</v>
      </c>
      <c r="N21" s="21">
        <f>IF(AND(N$4&gt;=$D21,N$4&lt;=$E21),1,0)</f>
        <v>1</v>
      </c>
      <c r="O21" s="21">
        <f>IF(AND(O$4&gt;=$D21,O$4&lt;=$E21),1,0)</f>
        <v>1</v>
      </c>
      <c r="P21" s="21">
        <f>IF(AND(P$4&gt;=$D21,P$4&lt;=$E21),1,0)</f>
        <v>0</v>
      </c>
      <c r="Q21" s="21">
        <f>IF(AND(Q$4&gt;=$D21,Q$4&lt;=$E21),1,0)</f>
        <v>0</v>
      </c>
      <c r="R21" s="21">
        <f>IF(AND(R$4&gt;=$D21,R$4&lt;=$E21),1,0)</f>
        <v>0</v>
      </c>
      <c r="S21" s="21">
        <f>IF(AND(S$4&gt;=$D21,S$4&lt;=$E21),1,0)</f>
        <v>0</v>
      </c>
      <c r="T21" s="21">
        <f>IF(AND(T$4&gt;=$D21,T$4&lt;=$E21),1,0)</f>
        <v>0</v>
      </c>
      <c r="U21" s="21">
        <f>IF(AND(U$4&gt;=$D21,U$4&lt;=$E21),1,0)</f>
        <v>0</v>
      </c>
      <c r="V21" s="21">
        <f>IF(AND(V$4&gt;=$D21,V$4&lt;=$E21),1,0)</f>
        <v>0</v>
      </c>
      <c r="W21" s="21">
        <f>IF(AND(W$4&gt;=$D21,W$4&lt;=$E21),1,0)</f>
        <v>0</v>
      </c>
      <c r="X21" s="21">
        <f>IF(AND(X$4&gt;=$D21,X$4&lt;=$E21),1,0)</f>
        <v>0</v>
      </c>
      <c r="Y21" s="21">
        <f>IF(AND(Y$4&gt;=$D21,Y$4&lt;=$E21),1,0)</f>
        <v>0</v>
      </c>
      <c r="Z21" s="21">
        <f>IF(AND(Z$4&gt;=$D21,Z$4&lt;=$E21),1,0)</f>
        <v>0</v>
      </c>
      <c r="AA21" s="21">
        <f>IF(AND(AA$4&gt;=$D21,AA$4&lt;=$E21),1,0)</f>
        <v>0</v>
      </c>
      <c r="AB21" s="21">
        <f>IF(AND(AB$4&gt;=$D21,AB$4&lt;=$E21),1,0)</f>
        <v>0</v>
      </c>
      <c r="AC21" s="21">
        <f>IF(AND(AC$4&gt;=$D21,AC$4&lt;=$E21),1,0)</f>
        <v>0</v>
      </c>
      <c r="AD21" s="21">
        <f>IF(AND(AD$4&gt;=$D21,AD$4&lt;=$E21),1,0)</f>
        <v>0</v>
      </c>
      <c r="AE21" s="21">
        <f>IF(AND(AE$4&gt;=$D21,AE$4&lt;=$E21),1,0)</f>
        <v>0</v>
      </c>
      <c r="AF21" s="21">
        <f>IF(AND(AF$4&gt;=$D21,AF$4&lt;=$E21),1,0)</f>
        <v>0</v>
      </c>
      <c r="AG21" s="21">
        <f>IF(AND(AG$4&gt;=$D21,AG$4&lt;=$E21),1,0)</f>
        <v>0</v>
      </c>
      <c r="AH21" s="21">
        <f>IF(AND(AH$4&gt;=$D21,AH$4&lt;=$E21),1,0)</f>
        <v>0</v>
      </c>
      <c r="AI21" s="21">
        <f>IF(AND(AI$4&gt;=$D21,AI$4&lt;=$E21),1,0)</f>
        <v>0</v>
      </c>
      <c r="AJ21" s="21">
        <f>IF(AND(AJ$4&gt;=$D21,AJ$4&lt;=$E21),1,0)</f>
        <v>0</v>
      </c>
      <c r="AK21" s="21">
        <f>IF(AND(AK$4&gt;=$D21,AK$4&lt;=$E21),1,0)</f>
        <v>0</v>
      </c>
      <c r="AL21" s="21">
        <f>IF(AND(AL$4&gt;=$D21,AL$4&lt;=$E21),1,0)</f>
        <v>0</v>
      </c>
      <c r="AM21" s="21">
        <f>IF(AND(AM$4&gt;=$D21,AM$4&lt;=$E21),1,0)</f>
        <v>0</v>
      </c>
      <c r="AN21" s="21">
        <f>IF(AND(AN$4&gt;=$D21,AN$4&lt;=$E21),1,0)</f>
        <v>0</v>
      </c>
      <c r="AO21" s="21">
        <f>IF(AND(AO$4&gt;=$D21,AO$4&lt;=$E21),1,0)</f>
        <v>0</v>
      </c>
    </row>
    <row r="22" ht="30" customHeight="1">
      <c r="A22" s="12" t="inlineStr">
        <is>
          <t>T05-CL</t>
        </is>
      </c>
      <c r="B22" s="12" t="inlineStr">
        <is>
          <t>Combat UI và 5 kỹ năng đầu</t>
        </is>
      </c>
      <c r="C22" s="12" t="inlineStr">
        <is>
          <t>CL</t>
        </is>
      </c>
      <c r="D22" s="12">
        <f>'13_WBS'!G22</f>
        <v>9</v>
      </c>
      <c r="E22" s="12">
        <f>'13_WBS'!H22</f>
        <v>10</v>
      </c>
      <c r="F22" s="22">
        <f>IF(AND(F$4&gt;=$D22,F$4&lt;=$E22),1,0)</f>
        <v>0</v>
      </c>
      <c r="G22" s="22">
        <f>IF(AND(G$4&gt;=$D22,G$4&lt;=$E22),1,0)</f>
        <v>0</v>
      </c>
      <c r="H22" s="22">
        <f>IF(AND(H$4&gt;=$D22,H$4&lt;=$E22),1,0)</f>
        <v>0</v>
      </c>
      <c r="I22" s="22">
        <f>IF(AND(I$4&gt;=$D22,I$4&lt;=$E22),1,0)</f>
        <v>0</v>
      </c>
      <c r="J22" s="22">
        <f>IF(AND(J$4&gt;=$D22,J$4&lt;=$E22),1,0)</f>
        <v>0</v>
      </c>
      <c r="K22" s="22">
        <f>IF(AND(K$4&gt;=$D22,K$4&lt;=$E22),1,0)</f>
        <v>0</v>
      </c>
      <c r="L22" s="22">
        <f>IF(AND(L$4&gt;=$D22,L$4&lt;=$E22),1,0)</f>
        <v>0</v>
      </c>
      <c r="M22" s="22">
        <f>IF(AND(M$4&gt;=$D22,M$4&lt;=$E22),1,0)</f>
        <v>0</v>
      </c>
      <c r="N22" s="22">
        <f>IF(AND(N$4&gt;=$D22,N$4&lt;=$E22),1,0)</f>
        <v>1</v>
      </c>
      <c r="O22" s="22">
        <f>IF(AND(O$4&gt;=$D22,O$4&lt;=$E22),1,0)</f>
        <v>1</v>
      </c>
      <c r="P22" s="22">
        <f>IF(AND(P$4&gt;=$D22,P$4&lt;=$E22),1,0)</f>
        <v>0</v>
      </c>
      <c r="Q22" s="22">
        <f>IF(AND(Q$4&gt;=$D22,Q$4&lt;=$E22),1,0)</f>
        <v>0</v>
      </c>
      <c r="R22" s="22">
        <f>IF(AND(R$4&gt;=$D22,R$4&lt;=$E22),1,0)</f>
        <v>0</v>
      </c>
      <c r="S22" s="22">
        <f>IF(AND(S$4&gt;=$D22,S$4&lt;=$E22),1,0)</f>
        <v>0</v>
      </c>
      <c r="T22" s="22">
        <f>IF(AND(T$4&gt;=$D22,T$4&lt;=$E22),1,0)</f>
        <v>0</v>
      </c>
      <c r="U22" s="22">
        <f>IF(AND(U$4&gt;=$D22,U$4&lt;=$E22),1,0)</f>
        <v>0</v>
      </c>
      <c r="V22" s="22">
        <f>IF(AND(V$4&gt;=$D22,V$4&lt;=$E22),1,0)</f>
        <v>0</v>
      </c>
      <c r="W22" s="22">
        <f>IF(AND(W$4&gt;=$D22,W$4&lt;=$E22),1,0)</f>
        <v>0</v>
      </c>
      <c r="X22" s="22">
        <f>IF(AND(X$4&gt;=$D22,X$4&lt;=$E22),1,0)</f>
        <v>0</v>
      </c>
      <c r="Y22" s="22">
        <f>IF(AND(Y$4&gt;=$D22,Y$4&lt;=$E22),1,0)</f>
        <v>0</v>
      </c>
      <c r="Z22" s="22">
        <f>IF(AND(Z$4&gt;=$D22,Z$4&lt;=$E22),1,0)</f>
        <v>0</v>
      </c>
      <c r="AA22" s="22">
        <f>IF(AND(AA$4&gt;=$D22,AA$4&lt;=$E22),1,0)</f>
        <v>0</v>
      </c>
      <c r="AB22" s="22">
        <f>IF(AND(AB$4&gt;=$D22,AB$4&lt;=$E22),1,0)</f>
        <v>0</v>
      </c>
      <c r="AC22" s="22">
        <f>IF(AND(AC$4&gt;=$D22,AC$4&lt;=$E22),1,0)</f>
        <v>0</v>
      </c>
      <c r="AD22" s="22">
        <f>IF(AND(AD$4&gt;=$D22,AD$4&lt;=$E22),1,0)</f>
        <v>0</v>
      </c>
      <c r="AE22" s="22">
        <f>IF(AND(AE$4&gt;=$D22,AE$4&lt;=$E22),1,0)</f>
        <v>0</v>
      </c>
      <c r="AF22" s="22">
        <f>IF(AND(AF$4&gt;=$D22,AF$4&lt;=$E22),1,0)</f>
        <v>0</v>
      </c>
      <c r="AG22" s="22">
        <f>IF(AND(AG$4&gt;=$D22,AG$4&lt;=$E22),1,0)</f>
        <v>0</v>
      </c>
      <c r="AH22" s="22">
        <f>IF(AND(AH$4&gt;=$D22,AH$4&lt;=$E22),1,0)</f>
        <v>0</v>
      </c>
      <c r="AI22" s="22">
        <f>IF(AND(AI$4&gt;=$D22,AI$4&lt;=$E22),1,0)</f>
        <v>0</v>
      </c>
      <c r="AJ22" s="22">
        <f>IF(AND(AJ$4&gt;=$D22,AJ$4&lt;=$E22),1,0)</f>
        <v>0</v>
      </c>
      <c r="AK22" s="22">
        <f>IF(AND(AK$4&gt;=$D22,AK$4&lt;=$E22),1,0)</f>
        <v>0</v>
      </c>
      <c r="AL22" s="22">
        <f>IF(AND(AL$4&gt;=$D22,AL$4&lt;=$E22),1,0)</f>
        <v>0</v>
      </c>
      <c r="AM22" s="22">
        <f>IF(AND(AM$4&gt;=$D22,AM$4&lt;=$E22),1,0)</f>
        <v>0</v>
      </c>
      <c r="AN22" s="22">
        <f>IF(AND(AN$4&gt;=$D22,AN$4&lt;=$E22),1,0)</f>
        <v>0</v>
      </c>
      <c r="AO22" s="22">
        <f>IF(AND(AO$4&gt;=$D22,AO$4&lt;=$E22),1,0)</f>
        <v>0</v>
      </c>
    </row>
    <row r="23" ht="30" customHeight="1">
      <c r="A23" s="11" t="inlineStr">
        <is>
          <t>T05-SV</t>
        </is>
      </c>
      <c r="B23" s="11" t="inlineStr">
        <is>
          <t>Combat resolver và trạng thái</t>
        </is>
      </c>
      <c r="C23" s="11" t="inlineStr">
        <is>
          <t>SV</t>
        </is>
      </c>
      <c r="D23" s="11">
        <f>'13_WBS'!G23</f>
        <v>9</v>
      </c>
      <c r="E23" s="11">
        <f>'13_WBS'!H23</f>
        <v>10</v>
      </c>
      <c r="F23" s="21">
        <f>IF(AND(F$4&gt;=$D23,F$4&lt;=$E23),1,0)</f>
        <v>0</v>
      </c>
      <c r="G23" s="21">
        <f>IF(AND(G$4&gt;=$D23,G$4&lt;=$E23),1,0)</f>
        <v>0</v>
      </c>
      <c r="H23" s="21">
        <f>IF(AND(H$4&gt;=$D23,H$4&lt;=$E23),1,0)</f>
        <v>0</v>
      </c>
      <c r="I23" s="21">
        <f>IF(AND(I$4&gt;=$D23,I$4&lt;=$E23),1,0)</f>
        <v>0</v>
      </c>
      <c r="J23" s="21">
        <f>IF(AND(J$4&gt;=$D23,J$4&lt;=$E23),1,0)</f>
        <v>0</v>
      </c>
      <c r="K23" s="21">
        <f>IF(AND(K$4&gt;=$D23,K$4&lt;=$E23),1,0)</f>
        <v>0</v>
      </c>
      <c r="L23" s="21">
        <f>IF(AND(L$4&gt;=$D23,L$4&lt;=$E23),1,0)</f>
        <v>0</v>
      </c>
      <c r="M23" s="21">
        <f>IF(AND(M$4&gt;=$D23,M$4&lt;=$E23),1,0)</f>
        <v>0</v>
      </c>
      <c r="N23" s="21">
        <f>IF(AND(N$4&gt;=$D23,N$4&lt;=$E23),1,0)</f>
        <v>1</v>
      </c>
      <c r="O23" s="21">
        <f>IF(AND(O$4&gt;=$D23,O$4&lt;=$E23),1,0)</f>
        <v>1</v>
      </c>
      <c r="P23" s="21">
        <f>IF(AND(P$4&gt;=$D23,P$4&lt;=$E23),1,0)</f>
        <v>0</v>
      </c>
      <c r="Q23" s="21">
        <f>IF(AND(Q$4&gt;=$D23,Q$4&lt;=$E23),1,0)</f>
        <v>0</v>
      </c>
      <c r="R23" s="21">
        <f>IF(AND(R$4&gt;=$D23,R$4&lt;=$E23),1,0)</f>
        <v>0</v>
      </c>
      <c r="S23" s="21">
        <f>IF(AND(S$4&gt;=$D23,S$4&lt;=$E23),1,0)</f>
        <v>0</v>
      </c>
      <c r="T23" s="21">
        <f>IF(AND(T$4&gt;=$D23,T$4&lt;=$E23),1,0)</f>
        <v>0</v>
      </c>
      <c r="U23" s="21">
        <f>IF(AND(U$4&gt;=$D23,U$4&lt;=$E23),1,0)</f>
        <v>0</v>
      </c>
      <c r="V23" s="21">
        <f>IF(AND(V$4&gt;=$D23,V$4&lt;=$E23),1,0)</f>
        <v>0</v>
      </c>
      <c r="W23" s="21">
        <f>IF(AND(W$4&gt;=$D23,W$4&lt;=$E23),1,0)</f>
        <v>0</v>
      </c>
      <c r="X23" s="21">
        <f>IF(AND(X$4&gt;=$D23,X$4&lt;=$E23),1,0)</f>
        <v>0</v>
      </c>
      <c r="Y23" s="21">
        <f>IF(AND(Y$4&gt;=$D23,Y$4&lt;=$E23),1,0)</f>
        <v>0</v>
      </c>
      <c r="Z23" s="21">
        <f>IF(AND(Z$4&gt;=$D23,Z$4&lt;=$E23),1,0)</f>
        <v>0</v>
      </c>
      <c r="AA23" s="21">
        <f>IF(AND(AA$4&gt;=$D23,AA$4&lt;=$E23),1,0)</f>
        <v>0</v>
      </c>
      <c r="AB23" s="21">
        <f>IF(AND(AB$4&gt;=$D23,AB$4&lt;=$E23),1,0)</f>
        <v>0</v>
      </c>
      <c r="AC23" s="21">
        <f>IF(AND(AC$4&gt;=$D23,AC$4&lt;=$E23),1,0)</f>
        <v>0</v>
      </c>
      <c r="AD23" s="21">
        <f>IF(AND(AD$4&gt;=$D23,AD$4&lt;=$E23),1,0)</f>
        <v>0</v>
      </c>
      <c r="AE23" s="21">
        <f>IF(AND(AE$4&gt;=$D23,AE$4&lt;=$E23),1,0)</f>
        <v>0</v>
      </c>
      <c r="AF23" s="21">
        <f>IF(AND(AF$4&gt;=$D23,AF$4&lt;=$E23),1,0)</f>
        <v>0</v>
      </c>
      <c r="AG23" s="21">
        <f>IF(AND(AG$4&gt;=$D23,AG$4&lt;=$E23),1,0)</f>
        <v>0</v>
      </c>
      <c r="AH23" s="21">
        <f>IF(AND(AH$4&gt;=$D23,AH$4&lt;=$E23),1,0)</f>
        <v>0</v>
      </c>
      <c r="AI23" s="21">
        <f>IF(AND(AI$4&gt;=$D23,AI$4&lt;=$E23),1,0)</f>
        <v>0</v>
      </c>
      <c r="AJ23" s="21">
        <f>IF(AND(AJ$4&gt;=$D23,AJ$4&lt;=$E23),1,0)</f>
        <v>0</v>
      </c>
      <c r="AK23" s="21">
        <f>IF(AND(AK$4&gt;=$D23,AK$4&lt;=$E23),1,0)</f>
        <v>0</v>
      </c>
      <c r="AL23" s="21">
        <f>IF(AND(AL$4&gt;=$D23,AL$4&lt;=$E23),1,0)</f>
        <v>0</v>
      </c>
      <c r="AM23" s="21">
        <f>IF(AND(AM$4&gt;=$D23,AM$4&lt;=$E23),1,0)</f>
        <v>0</v>
      </c>
      <c r="AN23" s="21">
        <f>IF(AND(AN$4&gt;=$D23,AN$4&lt;=$E23),1,0)</f>
        <v>0</v>
      </c>
      <c r="AO23" s="21">
        <f>IF(AND(AO$4&gt;=$D23,AO$4&lt;=$E23),1,0)</f>
        <v>0</v>
      </c>
    </row>
    <row r="24" ht="30" customHeight="1">
      <c r="A24" s="12" t="inlineStr">
        <is>
          <t>T05-AR</t>
        </is>
      </c>
      <c r="B24" s="12" t="inlineStr">
        <is>
          <t>VFX/SFX chiến đấu cơ sở</t>
        </is>
      </c>
      <c r="C24" s="12" t="inlineStr">
        <is>
          <t>AR</t>
        </is>
      </c>
      <c r="D24" s="12">
        <f>'13_WBS'!G24</f>
        <v>9</v>
      </c>
      <c r="E24" s="12">
        <f>'13_WBS'!H24</f>
        <v>10</v>
      </c>
      <c r="F24" s="22">
        <f>IF(AND(F$4&gt;=$D24,F$4&lt;=$E24),1,0)</f>
        <v>0</v>
      </c>
      <c r="G24" s="22">
        <f>IF(AND(G$4&gt;=$D24,G$4&lt;=$E24),1,0)</f>
        <v>0</v>
      </c>
      <c r="H24" s="22">
        <f>IF(AND(H$4&gt;=$D24,H$4&lt;=$E24),1,0)</f>
        <v>0</v>
      </c>
      <c r="I24" s="22">
        <f>IF(AND(I$4&gt;=$D24,I$4&lt;=$E24),1,0)</f>
        <v>0</v>
      </c>
      <c r="J24" s="22">
        <f>IF(AND(J$4&gt;=$D24,J$4&lt;=$E24),1,0)</f>
        <v>0</v>
      </c>
      <c r="K24" s="22">
        <f>IF(AND(K$4&gt;=$D24,K$4&lt;=$E24),1,0)</f>
        <v>0</v>
      </c>
      <c r="L24" s="22">
        <f>IF(AND(L$4&gt;=$D24,L$4&lt;=$E24),1,0)</f>
        <v>0</v>
      </c>
      <c r="M24" s="22">
        <f>IF(AND(M$4&gt;=$D24,M$4&lt;=$E24),1,0)</f>
        <v>0</v>
      </c>
      <c r="N24" s="22">
        <f>IF(AND(N$4&gt;=$D24,N$4&lt;=$E24),1,0)</f>
        <v>1</v>
      </c>
      <c r="O24" s="22">
        <f>IF(AND(O$4&gt;=$D24,O$4&lt;=$E24),1,0)</f>
        <v>1</v>
      </c>
      <c r="P24" s="22">
        <f>IF(AND(P$4&gt;=$D24,P$4&lt;=$E24),1,0)</f>
        <v>0</v>
      </c>
      <c r="Q24" s="22">
        <f>IF(AND(Q$4&gt;=$D24,Q$4&lt;=$E24),1,0)</f>
        <v>0</v>
      </c>
      <c r="R24" s="22">
        <f>IF(AND(R$4&gt;=$D24,R$4&lt;=$E24),1,0)</f>
        <v>0</v>
      </c>
      <c r="S24" s="22">
        <f>IF(AND(S$4&gt;=$D24,S$4&lt;=$E24),1,0)</f>
        <v>0</v>
      </c>
      <c r="T24" s="22">
        <f>IF(AND(T$4&gt;=$D24,T$4&lt;=$E24),1,0)</f>
        <v>0</v>
      </c>
      <c r="U24" s="22">
        <f>IF(AND(U$4&gt;=$D24,U$4&lt;=$E24),1,0)</f>
        <v>0</v>
      </c>
      <c r="V24" s="22">
        <f>IF(AND(V$4&gt;=$D24,V$4&lt;=$E24),1,0)</f>
        <v>0</v>
      </c>
      <c r="W24" s="22">
        <f>IF(AND(W$4&gt;=$D24,W$4&lt;=$E24),1,0)</f>
        <v>0</v>
      </c>
      <c r="X24" s="22">
        <f>IF(AND(X$4&gt;=$D24,X$4&lt;=$E24),1,0)</f>
        <v>0</v>
      </c>
      <c r="Y24" s="22">
        <f>IF(AND(Y$4&gt;=$D24,Y$4&lt;=$E24),1,0)</f>
        <v>0</v>
      </c>
      <c r="Z24" s="22">
        <f>IF(AND(Z$4&gt;=$D24,Z$4&lt;=$E24),1,0)</f>
        <v>0</v>
      </c>
      <c r="AA24" s="22">
        <f>IF(AND(AA$4&gt;=$D24,AA$4&lt;=$E24),1,0)</f>
        <v>0</v>
      </c>
      <c r="AB24" s="22">
        <f>IF(AND(AB$4&gt;=$D24,AB$4&lt;=$E24),1,0)</f>
        <v>0</v>
      </c>
      <c r="AC24" s="22">
        <f>IF(AND(AC$4&gt;=$D24,AC$4&lt;=$E24),1,0)</f>
        <v>0</v>
      </c>
      <c r="AD24" s="22">
        <f>IF(AND(AD$4&gt;=$D24,AD$4&lt;=$E24),1,0)</f>
        <v>0</v>
      </c>
      <c r="AE24" s="22">
        <f>IF(AND(AE$4&gt;=$D24,AE$4&lt;=$E24),1,0)</f>
        <v>0</v>
      </c>
      <c r="AF24" s="22">
        <f>IF(AND(AF$4&gt;=$D24,AF$4&lt;=$E24),1,0)</f>
        <v>0</v>
      </c>
      <c r="AG24" s="22">
        <f>IF(AND(AG$4&gt;=$D24,AG$4&lt;=$E24),1,0)</f>
        <v>0</v>
      </c>
      <c r="AH24" s="22">
        <f>IF(AND(AH$4&gt;=$D24,AH$4&lt;=$E24),1,0)</f>
        <v>0</v>
      </c>
      <c r="AI24" s="22">
        <f>IF(AND(AI$4&gt;=$D24,AI$4&lt;=$E24),1,0)</f>
        <v>0</v>
      </c>
      <c r="AJ24" s="22">
        <f>IF(AND(AJ$4&gt;=$D24,AJ$4&lt;=$E24),1,0)</f>
        <v>0</v>
      </c>
      <c r="AK24" s="22">
        <f>IF(AND(AK$4&gt;=$D24,AK$4&lt;=$E24),1,0)</f>
        <v>0</v>
      </c>
      <c r="AL24" s="22">
        <f>IF(AND(AL$4&gt;=$D24,AL$4&lt;=$E24),1,0)</f>
        <v>0</v>
      </c>
      <c r="AM24" s="22">
        <f>IF(AND(AM$4&gt;=$D24,AM$4&lt;=$E24),1,0)</f>
        <v>0</v>
      </c>
      <c r="AN24" s="22">
        <f>IF(AND(AN$4&gt;=$D24,AN$4&lt;=$E24),1,0)</f>
        <v>0</v>
      </c>
      <c r="AO24" s="22">
        <f>IF(AND(AO$4&gt;=$D24,AO$4&lt;=$E24),1,0)</f>
        <v>0</v>
      </c>
    </row>
    <row r="25" ht="30" customHeight="1">
      <c r="A25" s="11" t="inlineStr">
        <is>
          <t>T06-GD</t>
        </is>
      </c>
      <c r="B25" s="11" t="inlineStr">
        <is>
          <t>Gate G2 — vòng đánh quái và nhận thưởng</t>
        </is>
      </c>
      <c r="C25" s="11" t="inlineStr">
        <is>
          <t>GD</t>
        </is>
      </c>
      <c r="D25" s="11">
        <f>'13_WBS'!G25</f>
        <v>11</v>
      </c>
      <c r="E25" s="11">
        <f>'13_WBS'!H25</f>
        <v>12</v>
      </c>
      <c r="F25" s="21">
        <f>IF(AND(F$4&gt;=$D25,F$4&lt;=$E25),1,0)</f>
        <v>0</v>
      </c>
      <c r="G25" s="21">
        <f>IF(AND(G$4&gt;=$D25,G$4&lt;=$E25),1,0)</f>
        <v>0</v>
      </c>
      <c r="H25" s="21">
        <f>IF(AND(H$4&gt;=$D25,H$4&lt;=$E25),1,0)</f>
        <v>0</v>
      </c>
      <c r="I25" s="21">
        <f>IF(AND(I$4&gt;=$D25,I$4&lt;=$E25),1,0)</f>
        <v>0</v>
      </c>
      <c r="J25" s="21">
        <f>IF(AND(J$4&gt;=$D25,J$4&lt;=$E25),1,0)</f>
        <v>0</v>
      </c>
      <c r="K25" s="21">
        <f>IF(AND(K$4&gt;=$D25,K$4&lt;=$E25),1,0)</f>
        <v>0</v>
      </c>
      <c r="L25" s="21">
        <f>IF(AND(L$4&gt;=$D25,L$4&lt;=$E25),1,0)</f>
        <v>0</v>
      </c>
      <c r="M25" s="21">
        <f>IF(AND(M$4&gt;=$D25,M$4&lt;=$E25),1,0)</f>
        <v>0</v>
      </c>
      <c r="N25" s="21">
        <f>IF(AND(N$4&gt;=$D25,N$4&lt;=$E25),1,0)</f>
        <v>0</v>
      </c>
      <c r="O25" s="21">
        <f>IF(AND(O$4&gt;=$D25,O$4&lt;=$E25),1,0)</f>
        <v>0</v>
      </c>
      <c r="P25" s="21">
        <f>IF(AND(P$4&gt;=$D25,P$4&lt;=$E25),1,0)</f>
        <v>1</v>
      </c>
      <c r="Q25" s="21">
        <f>IF(AND(Q$4&gt;=$D25,Q$4&lt;=$E25),1,0)</f>
        <v>1</v>
      </c>
      <c r="R25" s="21">
        <f>IF(AND(R$4&gt;=$D25,R$4&lt;=$E25),1,0)</f>
        <v>0</v>
      </c>
      <c r="S25" s="21">
        <f>IF(AND(S$4&gt;=$D25,S$4&lt;=$E25),1,0)</f>
        <v>0</v>
      </c>
      <c r="T25" s="21">
        <f>IF(AND(T$4&gt;=$D25,T$4&lt;=$E25),1,0)</f>
        <v>0</v>
      </c>
      <c r="U25" s="21">
        <f>IF(AND(U$4&gt;=$D25,U$4&lt;=$E25),1,0)</f>
        <v>0</v>
      </c>
      <c r="V25" s="21">
        <f>IF(AND(V$4&gt;=$D25,V$4&lt;=$E25),1,0)</f>
        <v>0</v>
      </c>
      <c r="W25" s="21">
        <f>IF(AND(W$4&gt;=$D25,W$4&lt;=$E25),1,0)</f>
        <v>0</v>
      </c>
      <c r="X25" s="21">
        <f>IF(AND(X$4&gt;=$D25,X$4&lt;=$E25),1,0)</f>
        <v>0</v>
      </c>
      <c r="Y25" s="21">
        <f>IF(AND(Y$4&gt;=$D25,Y$4&lt;=$E25),1,0)</f>
        <v>0</v>
      </c>
      <c r="Z25" s="21">
        <f>IF(AND(Z$4&gt;=$D25,Z$4&lt;=$E25),1,0)</f>
        <v>0</v>
      </c>
      <c r="AA25" s="21">
        <f>IF(AND(AA$4&gt;=$D25,AA$4&lt;=$E25),1,0)</f>
        <v>0</v>
      </c>
      <c r="AB25" s="21">
        <f>IF(AND(AB$4&gt;=$D25,AB$4&lt;=$E25),1,0)</f>
        <v>0</v>
      </c>
      <c r="AC25" s="21">
        <f>IF(AND(AC$4&gt;=$D25,AC$4&lt;=$E25),1,0)</f>
        <v>0</v>
      </c>
      <c r="AD25" s="21">
        <f>IF(AND(AD$4&gt;=$D25,AD$4&lt;=$E25),1,0)</f>
        <v>0</v>
      </c>
      <c r="AE25" s="21">
        <f>IF(AND(AE$4&gt;=$D25,AE$4&lt;=$E25),1,0)</f>
        <v>0</v>
      </c>
      <c r="AF25" s="21">
        <f>IF(AND(AF$4&gt;=$D25,AF$4&lt;=$E25),1,0)</f>
        <v>0</v>
      </c>
      <c r="AG25" s="21">
        <f>IF(AND(AG$4&gt;=$D25,AG$4&lt;=$E25),1,0)</f>
        <v>0</v>
      </c>
      <c r="AH25" s="21">
        <f>IF(AND(AH$4&gt;=$D25,AH$4&lt;=$E25),1,0)</f>
        <v>0</v>
      </c>
      <c r="AI25" s="21">
        <f>IF(AND(AI$4&gt;=$D25,AI$4&lt;=$E25),1,0)</f>
        <v>0</v>
      </c>
      <c r="AJ25" s="21">
        <f>IF(AND(AJ$4&gt;=$D25,AJ$4&lt;=$E25),1,0)</f>
        <v>0</v>
      </c>
      <c r="AK25" s="21">
        <f>IF(AND(AK$4&gt;=$D25,AK$4&lt;=$E25),1,0)</f>
        <v>0</v>
      </c>
      <c r="AL25" s="21">
        <f>IF(AND(AL$4&gt;=$D25,AL$4&lt;=$E25),1,0)</f>
        <v>0</v>
      </c>
      <c r="AM25" s="21">
        <f>IF(AND(AM$4&gt;=$D25,AM$4&lt;=$E25),1,0)</f>
        <v>0</v>
      </c>
      <c r="AN25" s="21">
        <f>IF(AND(AN$4&gt;=$D25,AN$4&lt;=$E25),1,0)</f>
        <v>0</v>
      </c>
      <c r="AO25" s="21">
        <f>IF(AND(AO$4&gt;=$D25,AO$4&lt;=$E25),1,0)</f>
        <v>0</v>
      </c>
    </row>
    <row r="26" ht="30" customHeight="1">
      <c r="A26" s="12" t="inlineStr">
        <is>
          <t>T06-CL</t>
        </is>
      </c>
      <c r="B26" s="12" t="inlineStr">
        <is>
          <t>Quái, loot và chết/hồi sinh phía client</t>
        </is>
      </c>
      <c r="C26" s="12" t="inlineStr">
        <is>
          <t>CL</t>
        </is>
      </c>
      <c r="D26" s="12">
        <f>'13_WBS'!G26</f>
        <v>11</v>
      </c>
      <c r="E26" s="12">
        <f>'13_WBS'!H26</f>
        <v>12</v>
      </c>
      <c r="F26" s="22">
        <f>IF(AND(F$4&gt;=$D26,F$4&lt;=$E26),1,0)</f>
        <v>0</v>
      </c>
      <c r="G26" s="22">
        <f>IF(AND(G$4&gt;=$D26,G$4&lt;=$E26),1,0)</f>
        <v>0</v>
      </c>
      <c r="H26" s="22">
        <f>IF(AND(H$4&gt;=$D26,H$4&lt;=$E26),1,0)</f>
        <v>0</v>
      </c>
      <c r="I26" s="22">
        <f>IF(AND(I$4&gt;=$D26,I$4&lt;=$E26),1,0)</f>
        <v>0</v>
      </c>
      <c r="J26" s="22">
        <f>IF(AND(J$4&gt;=$D26,J$4&lt;=$E26),1,0)</f>
        <v>0</v>
      </c>
      <c r="K26" s="22">
        <f>IF(AND(K$4&gt;=$D26,K$4&lt;=$E26),1,0)</f>
        <v>0</v>
      </c>
      <c r="L26" s="22">
        <f>IF(AND(L$4&gt;=$D26,L$4&lt;=$E26),1,0)</f>
        <v>0</v>
      </c>
      <c r="M26" s="22">
        <f>IF(AND(M$4&gt;=$D26,M$4&lt;=$E26),1,0)</f>
        <v>0</v>
      </c>
      <c r="N26" s="22">
        <f>IF(AND(N$4&gt;=$D26,N$4&lt;=$E26),1,0)</f>
        <v>0</v>
      </c>
      <c r="O26" s="22">
        <f>IF(AND(O$4&gt;=$D26,O$4&lt;=$E26),1,0)</f>
        <v>0</v>
      </c>
      <c r="P26" s="22">
        <f>IF(AND(P$4&gt;=$D26,P$4&lt;=$E26),1,0)</f>
        <v>1</v>
      </c>
      <c r="Q26" s="22">
        <f>IF(AND(Q$4&gt;=$D26,Q$4&lt;=$E26),1,0)</f>
        <v>1</v>
      </c>
      <c r="R26" s="22">
        <f>IF(AND(R$4&gt;=$D26,R$4&lt;=$E26),1,0)</f>
        <v>0</v>
      </c>
      <c r="S26" s="22">
        <f>IF(AND(S$4&gt;=$D26,S$4&lt;=$E26),1,0)</f>
        <v>0</v>
      </c>
      <c r="T26" s="22">
        <f>IF(AND(T$4&gt;=$D26,T$4&lt;=$E26),1,0)</f>
        <v>0</v>
      </c>
      <c r="U26" s="22">
        <f>IF(AND(U$4&gt;=$D26,U$4&lt;=$E26),1,0)</f>
        <v>0</v>
      </c>
      <c r="V26" s="22">
        <f>IF(AND(V$4&gt;=$D26,V$4&lt;=$E26),1,0)</f>
        <v>0</v>
      </c>
      <c r="W26" s="22">
        <f>IF(AND(W$4&gt;=$D26,W$4&lt;=$E26),1,0)</f>
        <v>0</v>
      </c>
      <c r="X26" s="22">
        <f>IF(AND(X$4&gt;=$D26,X$4&lt;=$E26),1,0)</f>
        <v>0</v>
      </c>
      <c r="Y26" s="22">
        <f>IF(AND(Y$4&gt;=$D26,Y$4&lt;=$E26),1,0)</f>
        <v>0</v>
      </c>
      <c r="Z26" s="22">
        <f>IF(AND(Z$4&gt;=$D26,Z$4&lt;=$E26),1,0)</f>
        <v>0</v>
      </c>
      <c r="AA26" s="22">
        <f>IF(AND(AA$4&gt;=$D26,AA$4&lt;=$E26),1,0)</f>
        <v>0</v>
      </c>
      <c r="AB26" s="22">
        <f>IF(AND(AB$4&gt;=$D26,AB$4&lt;=$E26),1,0)</f>
        <v>0</v>
      </c>
      <c r="AC26" s="22">
        <f>IF(AND(AC$4&gt;=$D26,AC$4&lt;=$E26),1,0)</f>
        <v>0</v>
      </c>
      <c r="AD26" s="22">
        <f>IF(AND(AD$4&gt;=$D26,AD$4&lt;=$E26),1,0)</f>
        <v>0</v>
      </c>
      <c r="AE26" s="22">
        <f>IF(AND(AE$4&gt;=$D26,AE$4&lt;=$E26),1,0)</f>
        <v>0</v>
      </c>
      <c r="AF26" s="22">
        <f>IF(AND(AF$4&gt;=$D26,AF$4&lt;=$E26),1,0)</f>
        <v>0</v>
      </c>
      <c r="AG26" s="22">
        <f>IF(AND(AG$4&gt;=$D26,AG$4&lt;=$E26),1,0)</f>
        <v>0</v>
      </c>
      <c r="AH26" s="22">
        <f>IF(AND(AH$4&gt;=$D26,AH$4&lt;=$E26),1,0)</f>
        <v>0</v>
      </c>
      <c r="AI26" s="22">
        <f>IF(AND(AI$4&gt;=$D26,AI$4&lt;=$E26),1,0)</f>
        <v>0</v>
      </c>
      <c r="AJ26" s="22">
        <f>IF(AND(AJ$4&gt;=$D26,AJ$4&lt;=$E26),1,0)</f>
        <v>0</v>
      </c>
      <c r="AK26" s="22">
        <f>IF(AND(AK$4&gt;=$D26,AK$4&lt;=$E26),1,0)</f>
        <v>0</v>
      </c>
      <c r="AL26" s="22">
        <f>IF(AND(AL$4&gt;=$D26,AL$4&lt;=$E26),1,0)</f>
        <v>0</v>
      </c>
      <c r="AM26" s="22">
        <f>IF(AND(AM$4&gt;=$D26,AM$4&lt;=$E26),1,0)</f>
        <v>0</v>
      </c>
      <c r="AN26" s="22">
        <f>IF(AND(AN$4&gt;=$D26,AN$4&lt;=$E26),1,0)</f>
        <v>0</v>
      </c>
      <c r="AO26" s="22">
        <f>IF(AND(AO$4&gt;=$D26,AO$4&lt;=$E26),1,0)</f>
        <v>0</v>
      </c>
    </row>
    <row r="27" ht="30" customHeight="1">
      <c r="A27" s="11" t="inlineStr">
        <is>
          <t>T06-SV</t>
        </is>
      </c>
      <c r="B27" s="11" t="inlineStr">
        <is>
          <t>AI quái, spawn, loot và hồi sinh</t>
        </is>
      </c>
      <c r="C27" s="11" t="inlineStr">
        <is>
          <t>SV</t>
        </is>
      </c>
      <c r="D27" s="11">
        <f>'13_WBS'!G27</f>
        <v>11</v>
      </c>
      <c r="E27" s="11">
        <f>'13_WBS'!H27</f>
        <v>12</v>
      </c>
      <c r="F27" s="21">
        <f>IF(AND(F$4&gt;=$D27,F$4&lt;=$E27),1,0)</f>
        <v>0</v>
      </c>
      <c r="G27" s="21">
        <f>IF(AND(G$4&gt;=$D27,G$4&lt;=$E27),1,0)</f>
        <v>0</v>
      </c>
      <c r="H27" s="21">
        <f>IF(AND(H$4&gt;=$D27,H$4&lt;=$E27),1,0)</f>
        <v>0</v>
      </c>
      <c r="I27" s="21">
        <f>IF(AND(I$4&gt;=$D27,I$4&lt;=$E27),1,0)</f>
        <v>0</v>
      </c>
      <c r="J27" s="21">
        <f>IF(AND(J$4&gt;=$D27,J$4&lt;=$E27),1,0)</f>
        <v>0</v>
      </c>
      <c r="K27" s="21">
        <f>IF(AND(K$4&gt;=$D27,K$4&lt;=$E27),1,0)</f>
        <v>0</v>
      </c>
      <c r="L27" s="21">
        <f>IF(AND(L$4&gt;=$D27,L$4&lt;=$E27),1,0)</f>
        <v>0</v>
      </c>
      <c r="M27" s="21">
        <f>IF(AND(M$4&gt;=$D27,M$4&lt;=$E27),1,0)</f>
        <v>0</v>
      </c>
      <c r="N27" s="21">
        <f>IF(AND(N$4&gt;=$D27,N$4&lt;=$E27),1,0)</f>
        <v>0</v>
      </c>
      <c r="O27" s="21">
        <f>IF(AND(O$4&gt;=$D27,O$4&lt;=$E27),1,0)</f>
        <v>0</v>
      </c>
      <c r="P27" s="21">
        <f>IF(AND(P$4&gt;=$D27,P$4&lt;=$E27),1,0)</f>
        <v>1</v>
      </c>
      <c r="Q27" s="21">
        <f>IF(AND(Q$4&gt;=$D27,Q$4&lt;=$E27),1,0)</f>
        <v>1</v>
      </c>
      <c r="R27" s="21">
        <f>IF(AND(R$4&gt;=$D27,R$4&lt;=$E27),1,0)</f>
        <v>0</v>
      </c>
      <c r="S27" s="21">
        <f>IF(AND(S$4&gt;=$D27,S$4&lt;=$E27),1,0)</f>
        <v>0</v>
      </c>
      <c r="T27" s="21">
        <f>IF(AND(T$4&gt;=$D27,T$4&lt;=$E27),1,0)</f>
        <v>0</v>
      </c>
      <c r="U27" s="21">
        <f>IF(AND(U$4&gt;=$D27,U$4&lt;=$E27),1,0)</f>
        <v>0</v>
      </c>
      <c r="V27" s="21">
        <f>IF(AND(V$4&gt;=$D27,V$4&lt;=$E27),1,0)</f>
        <v>0</v>
      </c>
      <c r="W27" s="21">
        <f>IF(AND(W$4&gt;=$D27,W$4&lt;=$E27),1,0)</f>
        <v>0</v>
      </c>
      <c r="X27" s="21">
        <f>IF(AND(X$4&gt;=$D27,X$4&lt;=$E27),1,0)</f>
        <v>0</v>
      </c>
      <c r="Y27" s="21">
        <f>IF(AND(Y$4&gt;=$D27,Y$4&lt;=$E27),1,0)</f>
        <v>0</v>
      </c>
      <c r="Z27" s="21">
        <f>IF(AND(Z$4&gt;=$D27,Z$4&lt;=$E27),1,0)</f>
        <v>0</v>
      </c>
      <c r="AA27" s="21">
        <f>IF(AND(AA$4&gt;=$D27,AA$4&lt;=$E27),1,0)</f>
        <v>0</v>
      </c>
      <c r="AB27" s="21">
        <f>IF(AND(AB$4&gt;=$D27,AB$4&lt;=$E27),1,0)</f>
        <v>0</v>
      </c>
      <c r="AC27" s="21">
        <f>IF(AND(AC$4&gt;=$D27,AC$4&lt;=$E27),1,0)</f>
        <v>0</v>
      </c>
      <c r="AD27" s="21">
        <f>IF(AND(AD$4&gt;=$D27,AD$4&lt;=$E27),1,0)</f>
        <v>0</v>
      </c>
      <c r="AE27" s="21">
        <f>IF(AND(AE$4&gt;=$D27,AE$4&lt;=$E27),1,0)</f>
        <v>0</v>
      </c>
      <c r="AF27" s="21">
        <f>IF(AND(AF$4&gt;=$D27,AF$4&lt;=$E27),1,0)</f>
        <v>0</v>
      </c>
      <c r="AG27" s="21">
        <f>IF(AND(AG$4&gt;=$D27,AG$4&lt;=$E27),1,0)</f>
        <v>0</v>
      </c>
      <c r="AH27" s="21">
        <f>IF(AND(AH$4&gt;=$D27,AH$4&lt;=$E27),1,0)</f>
        <v>0</v>
      </c>
      <c r="AI27" s="21">
        <f>IF(AND(AI$4&gt;=$D27,AI$4&lt;=$E27),1,0)</f>
        <v>0</v>
      </c>
      <c r="AJ27" s="21">
        <f>IF(AND(AJ$4&gt;=$D27,AJ$4&lt;=$E27),1,0)</f>
        <v>0</v>
      </c>
      <c r="AK27" s="21">
        <f>IF(AND(AK$4&gt;=$D27,AK$4&lt;=$E27),1,0)</f>
        <v>0</v>
      </c>
      <c r="AL27" s="21">
        <f>IF(AND(AL$4&gt;=$D27,AL$4&lt;=$E27),1,0)</f>
        <v>0</v>
      </c>
      <c r="AM27" s="21">
        <f>IF(AND(AM$4&gt;=$D27,AM$4&lt;=$E27),1,0)</f>
        <v>0</v>
      </c>
      <c r="AN27" s="21">
        <f>IF(AND(AN$4&gt;=$D27,AN$4&lt;=$E27),1,0)</f>
        <v>0</v>
      </c>
      <c r="AO27" s="21">
        <f>IF(AND(AO$4&gt;=$D27,AO$4&lt;=$E27),1,0)</f>
        <v>0</v>
      </c>
    </row>
    <row r="28" ht="30" customHeight="1">
      <c r="A28" s="12" t="inlineStr">
        <is>
          <t>T06-AR</t>
        </is>
      </c>
      <c r="B28" s="12" t="inlineStr">
        <is>
          <t>Map cày bãi và quái cơ sở</t>
        </is>
      </c>
      <c r="C28" s="12" t="inlineStr">
        <is>
          <t>AR</t>
        </is>
      </c>
      <c r="D28" s="12">
        <f>'13_WBS'!G28</f>
        <v>11</v>
      </c>
      <c r="E28" s="12">
        <f>'13_WBS'!H28</f>
        <v>12</v>
      </c>
      <c r="F28" s="22">
        <f>IF(AND(F$4&gt;=$D28,F$4&lt;=$E28),1,0)</f>
        <v>0</v>
      </c>
      <c r="G28" s="22">
        <f>IF(AND(G$4&gt;=$D28,G$4&lt;=$E28),1,0)</f>
        <v>0</v>
      </c>
      <c r="H28" s="22">
        <f>IF(AND(H$4&gt;=$D28,H$4&lt;=$E28),1,0)</f>
        <v>0</v>
      </c>
      <c r="I28" s="22">
        <f>IF(AND(I$4&gt;=$D28,I$4&lt;=$E28),1,0)</f>
        <v>0</v>
      </c>
      <c r="J28" s="22">
        <f>IF(AND(J$4&gt;=$D28,J$4&lt;=$E28),1,0)</f>
        <v>0</v>
      </c>
      <c r="K28" s="22">
        <f>IF(AND(K$4&gt;=$D28,K$4&lt;=$E28),1,0)</f>
        <v>0</v>
      </c>
      <c r="L28" s="22">
        <f>IF(AND(L$4&gt;=$D28,L$4&lt;=$E28),1,0)</f>
        <v>0</v>
      </c>
      <c r="M28" s="22">
        <f>IF(AND(M$4&gt;=$D28,M$4&lt;=$E28),1,0)</f>
        <v>0</v>
      </c>
      <c r="N28" s="22">
        <f>IF(AND(N$4&gt;=$D28,N$4&lt;=$E28),1,0)</f>
        <v>0</v>
      </c>
      <c r="O28" s="22">
        <f>IF(AND(O$4&gt;=$D28,O$4&lt;=$E28),1,0)</f>
        <v>0</v>
      </c>
      <c r="P28" s="22">
        <f>IF(AND(P$4&gt;=$D28,P$4&lt;=$E28),1,0)</f>
        <v>1</v>
      </c>
      <c r="Q28" s="22">
        <f>IF(AND(Q$4&gt;=$D28,Q$4&lt;=$E28),1,0)</f>
        <v>1</v>
      </c>
      <c r="R28" s="22">
        <f>IF(AND(R$4&gt;=$D28,R$4&lt;=$E28),1,0)</f>
        <v>0</v>
      </c>
      <c r="S28" s="22">
        <f>IF(AND(S$4&gt;=$D28,S$4&lt;=$E28),1,0)</f>
        <v>0</v>
      </c>
      <c r="T28" s="22">
        <f>IF(AND(T$4&gt;=$D28,T$4&lt;=$E28),1,0)</f>
        <v>0</v>
      </c>
      <c r="U28" s="22">
        <f>IF(AND(U$4&gt;=$D28,U$4&lt;=$E28),1,0)</f>
        <v>0</v>
      </c>
      <c r="V28" s="22">
        <f>IF(AND(V$4&gt;=$D28,V$4&lt;=$E28),1,0)</f>
        <v>0</v>
      </c>
      <c r="W28" s="22">
        <f>IF(AND(W$4&gt;=$D28,W$4&lt;=$E28),1,0)</f>
        <v>0</v>
      </c>
      <c r="X28" s="22">
        <f>IF(AND(X$4&gt;=$D28,X$4&lt;=$E28),1,0)</f>
        <v>0</v>
      </c>
      <c r="Y28" s="22">
        <f>IF(AND(Y$4&gt;=$D28,Y$4&lt;=$E28),1,0)</f>
        <v>0</v>
      </c>
      <c r="Z28" s="22">
        <f>IF(AND(Z$4&gt;=$D28,Z$4&lt;=$E28),1,0)</f>
        <v>0</v>
      </c>
      <c r="AA28" s="22">
        <f>IF(AND(AA$4&gt;=$D28,AA$4&lt;=$E28),1,0)</f>
        <v>0</v>
      </c>
      <c r="AB28" s="22">
        <f>IF(AND(AB$4&gt;=$D28,AB$4&lt;=$E28),1,0)</f>
        <v>0</v>
      </c>
      <c r="AC28" s="22">
        <f>IF(AND(AC$4&gt;=$D28,AC$4&lt;=$E28),1,0)</f>
        <v>0</v>
      </c>
      <c r="AD28" s="22">
        <f>IF(AND(AD$4&gt;=$D28,AD$4&lt;=$E28),1,0)</f>
        <v>0</v>
      </c>
      <c r="AE28" s="22">
        <f>IF(AND(AE$4&gt;=$D28,AE$4&lt;=$E28),1,0)</f>
        <v>0</v>
      </c>
      <c r="AF28" s="22">
        <f>IF(AND(AF$4&gt;=$D28,AF$4&lt;=$E28),1,0)</f>
        <v>0</v>
      </c>
      <c r="AG28" s="22">
        <f>IF(AND(AG$4&gt;=$D28,AG$4&lt;=$E28),1,0)</f>
        <v>0</v>
      </c>
      <c r="AH28" s="22">
        <f>IF(AND(AH$4&gt;=$D28,AH$4&lt;=$E28),1,0)</f>
        <v>0</v>
      </c>
      <c r="AI28" s="22">
        <f>IF(AND(AI$4&gt;=$D28,AI$4&lt;=$E28),1,0)</f>
        <v>0</v>
      </c>
      <c r="AJ28" s="22">
        <f>IF(AND(AJ$4&gt;=$D28,AJ$4&lt;=$E28),1,0)</f>
        <v>0</v>
      </c>
      <c r="AK28" s="22">
        <f>IF(AND(AK$4&gt;=$D28,AK$4&lt;=$E28),1,0)</f>
        <v>0</v>
      </c>
      <c r="AL28" s="22">
        <f>IF(AND(AL$4&gt;=$D28,AL$4&lt;=$E28),1,0)</f>
        <v>0</v>
      </c>
      <c r="AM28" s="22">
        <f>IF(AND(AM$4&gt;=$D28,AM$4&lt;=$E28),1,0)</f>
        <v>0</v>
      </c>
      <c r="AN28" s="22">
        <f>IF(AND(AN$4&gt;=$D28,AN$4&lt;=$E28),1,0)</f>
        <v>0</v>
      </c>
      <c r="AO28" s="22">
        <f>IF(AND(AO$4&gt;=$D28,AO$4&lt;=$E28),1,0)</f>
        <v>0</v>
      </c>
    </row>
    <row r="29" ht="30" customHeight="1">
      <c r="A29" s="11" t="inlineStr">
        <is>
          <t>T07-GD</t>
        </is>
      </c>
      <c r="B29" s="11" t="inlineStr">
        <is>
          <t>Thiết kế inventory, economy và dữ liệu Cổ</t>
        </is>
      </c>
      <c r="C29" s="11" t="inlineStr">
        <is>
          <t>GD</t>
        </is>
      </c>
      <c r="D29" s="11">
        <f>'13_WBS'!G29</f>
        <v>13</v>
      </c>
      <c r="E29" s="11">
        <f>'13_WBS'!H29</f>
        <v>14</v>
      </c>
      <c r="F29" s="21">
        <f>IF(AND(F$4&gt;=$D29,F$4&lt;=$E29),1,0)</f>
        <v>0</v>
      </c>
      <c r="G29" s="21">
        <f>IF(AND(G$4&gt;=$D29,G$4&lt;=$E29),1,0)</f>
        <v>0</v>
      </c>
      <c r="H29" s="21">
        <f>IF(AND(H$4&gt;=$D29,H$4&lt;=$E29),1,0)</f>
        <v>0</v>
      </c>
      <c r="I29" s="21">
        <f>IF(AND(I$4&gt;=$D29,I$4&lt;=$E29),1,0)</f>
        <v>0</v>
      </c>
      <c r="J29" s="21">
        <f>IF(AND(J$4&gt;=$D29,J$4&lt;=$E29),1,0)</f>
        <v>0</v>
      </c>
      <c r="K29" s="21">
        <f>IF(AND(K$4&gt;=$D29,K$4&lt;=$E29),1,0)</f>
        <v>0</v>
      </c>
      <c r="L29" s="21">
        <f>IF(AND(L$4&gt;=$D29,L$4&lt;=$E29),1,0)</f>
        <v>0</v>
      </c>
      <c r="M29" s="21">
        <f>IF(AND(M$4&gt;=$D29,M$4&lt;=$E29),1,0)</f>
        <v>0</v>
      </c>
      <c r="N29" s="21">
        <f>IF(AND(N$4&gt;=$D29,N$4&lt;=$E29),1,0)</f>
        <v>0</v>
      </c>
      <c r="O29" s="21">
        <f>IF(AND(O$4&gt;=$D29,O$4&lt;=$E29),1,0)</f>
        <v>0</v>
      </c>
      <c r="P29" s="21">
        <f>IF(AND(P$4&gt;=$D29,P$4&lt;=$E29),1,0)</f>
        <v>0</v>
      </c>
      <c r="Q29" s="21">
        <f>IF(AND(Q$4&gt;=$D29,Q$4&lt;=$E29),1,0)</f>
        <v>0</v>
      </c>
      <c r="R29" s="21">
        <f>IF(AND(R$4&gt;=$D29,R$4&lt;=$E29),1,0)</f>
        <v>1</v>
      </c>
      <c r="S29" s="21">
        <f>IF(AND(S$4&gt;=$D29,S$4&lt;=$E29),1,0)</f>
        <v>1</v>
      </c>
      <c r="T29" s="21">
        <f>IF(AND(T$4&gt;=$D29,T$4&lt;=$E29),1,0)</f>
        <v>0</v>
      </c>
      <c r="U29" s="21">
        <f>IF(AND(U$4&gt;=$D29,U$4&lt;=$E29),1,0)</f>
        <v>0</v>
      </c>
      <c r="V29" s="21">
        <f>IF(AND(V$4&gt;=$D29,V$4&lt;=$E29),1,0)</f>
        <v>0</v>
      </c>
      <c r="W29" s="21">
        <f>IF(AND(W$4&gt;=$D29,W$4&lt;=$E29),1,0)</f>
        <v>0</v>
      </c>
      <c r="X29" s="21">
        <f>IF(AND(X$4&gt;=$D29,X$4&lt;=$E29),1,0)</f>
        <v>0</v>
      </c>
      <c r="Y29" s="21">
        <f>IF(AND(Y$4&gt;=$D29,Y$4&lt;=$E29),1,0)</f>
        <v>0</v>
      </c>
      <c r="Z29" s="21">
        <f>IF(AND(Z$4&gt;=$D29,Z$4&lt;=$E29),1,0)</f>
        <v>0</v>
      </c>
      <c r="AA29" s="21">
        <f>IF(AND(AA$4&gt;=$D29,AA$4&lt;=$E29),1,0)</f>
        <v>0</v>
      </c>
      <c r="AB29" s="21">
        <f>IF(AND(AB$4&gt;=$D29,AB$4&lt;=$E29),1,0)</f>
        <v>0</v>
      </c>
      <c r="AC29" s="21">
        <f>IF(AND(AC$4&gt;=$D29,AC$4&lt;=$E29),1,0)</f>
        <v>0</v>
      </c>
      <c r="AD29" s="21">
        <f>IF(AND(AD$4&gt;=$D29,AD$4&lt;=$E29),1,0)</f>
        <v>0</v>
      </c>
      <c r="AE29" s="21">
        <f>IF(AND(AE$4&gt;=$D29,AE$4&lt;=$E29),1,0)</f>
        <v>0</v>
      </c>
      <c r="AF29" s="21">
        <f>IF(AND(AF$4&gt;=$D29,AF$4&lt;=$E29),1,0)</f>
        <v>0</v>
      </c>
      <c r="AG29" s="21">
        <f>IF(AND(AG$4&gt;=$D29,AG$4&lt;=$E29),1,0)</f>
        <v>0</v>
      </c>
      <c r="AH29" s="21">
        <f>IF(AND(AH$4&gt;=$D29,AH$4&lt;=$E29),1,0)</f>
        <v>0</v>
      </c>
      <c r="AI29" s="21">
        <f>IF(AND(AI$4&gt;=$D29,AI$4&lt;=$E29),1,0)</f>
        <v>0</v>
      </c>
      <c r="AJ29" s="21">
        <f>IF(AND(AJ$4&gt;=$D29,AJ$4&lt;=$E29),1,0)</f>
        <v>0</v>
      </c>
      <c r="AK29" s="21">
        <f>IF(AND(AK$4&gt;=$D29,AK$4&lt;=$E29),1,0)</f>
        <v>0</v>
      </c>
      <c r="AL29" s="21">
        <f>IF(AND(AL$4&gt;=$D29,AL$4&lt;=$E29),1,0)</f>
        <v>0</v>
      </c>
      <c r="AM29" s="21">
        <f>IF(AND(AM$4&gt;=$D29,AM$4&lt;=$E29),1,0)</f>
        <v>0</v>
      </c>
      <c r="AN29" s="21">
        <f>IF(AND(AN$4&gt;=$D29,AN$4&lt;=$E29),1,0)</f>
        <v>0</v>
      </c>
      <c r="AO29" s="21">
        <f>IF(AND(AO$4&gt;=$D29,AO$4&lt;=$E29),1,0)</f>
        <v>0</v>
      </c>
    </row>
    <row r="30" ht="30" customHeight="1">
      <c r="A30" s="12" t="inlineStr">
        <is>
          <t>T07-CL</t>
        </is>
      </c>
      <c r="B30" s="12" t="inlineStr">
        <is>
          <t>Túi đồ, tooltip, trang bị Không Khiếu</t>
        </is>
      </c>
      <c r="C30" s="12" t="inlineStr">
        <is>
          <t>CL</t>
        </is>
      </c>
      <c r="D30" s="12">
        <f>'13_WBS'!G30</f>
        <v>13</v>
      </c>
      <c r="E30" s="12">
        <f>'13_WBS'!H30</f>
        <v>14</v>
      </c>
      <c r="F30" s="22">
        <f>IF(AND(F$4&gt;=$D30,F$4&lt;=$E30),1,0)</f>
        <v>0</v>
      </c>
      <c r="G30" s="22">
        <f>IF(AND(G$4&gt;=$D30,G$4&lt;=$E30),1,0)</f>
        <v>0</v>
      </c>
      <c r="H30" s="22">
        <f>IF(AND(H$4&gt;=$D30,H$4&lt;=$E30),1,0)</f>
        <v>0</v>
      </c>
      <c r="I30" s="22">
        <f>IF(AND(I$4&gt;=$D30,I$4&lt;=$E30),1,0)</f>
        <v>0</v>
      </c>
      <c r="J30" s="22">
        <f>IF(AND(J$4&gt;=$D30,J$4&lt;=$E30),1,0)</f>
        <v>0</v>
      </c>
      <c r="K30" s="22">
        <f>IF(AND(K$4&gt;=$D30,K$4&lt;=$E30),1,0)</f>
        <v>0</v>
      </c>
      <c r="L30" s="22">
        <f>IF(AND(L$4&gt;=$D30,L$4&lt;=$E30),1,0)</f>
        <v>0</v>
      </c>
      <c r="M30" s="22">
        <f>IF(AND(M$4&gt;=$D30,M$4&lt;=$E30),1,0)</f>
        <v>0</v>
      </c>
      <c r="N30" s="22">
        <f>IF(AND(N$4&gt;=$D30,N$4&lt;=$E30),1,0)</f>
        <v>0</v>
      </c>
      <c r="O30" s="22">
        <f>IF(AND(O$4&gt;=$D30,O$4&lt;=$E30),1,0)</f>
        <v>0</v>
      </c>
      <c r="P30" s="22">
        <f>IF(AND(P$4&gt;=$D30,P$4&lt;=$E30),1,0)</f>
        <v>0</v>
      </c>
      <c r="Q30" s="22">
        <f>IF(AND(Q$4&gt;=$D30,Q$4&lt;=$E30),1,0)</f>
        <v>0</v>
      </c>
      <c r="R30" s="22">
        <f>IF(AND(R$4&gt;=$D30,R$4&lt;=$E30),1,0)</f>
        <v>1</v>
      </c>
      <c r="S30" s="22">
        <f>IF(AND(S$4&gt;=$D30,S$4&lt;=$E30),1,0)</f>
        <v>1</v>
      </c>
      <c r="T30" s="22">
        <f>IF(AND(T$4&gt;=$D30,T$4&lt;=$E30),1,0)</f>
        <v>0</v>
      </c>
      <c r="U30" s="22">
        <f>IF(AND(U$4&gt;=$D30,U$4&lt;=$E30),1,0)</f>
        <v>0</v>
      </c>
      <c r="V30" s="22">
        <f>IF(AND(V$4&gt;=$D30,V$4&lt;=$E30),1,0)</f>
        <v>0</v>
      </c>
      <c r="W30" s="22">
        <f>IF(AND(W$4&gt;=$D30,W$4&lt;=$E30),1,0)</f>
        <v>0</v>
      </c>
      <c r="X30" s="22">
        <f>IF(AND(X$4&gt;=$D30,X$4&lt;=$E30),1,0)</f>
        <v>0</v>
      </c>
      <c r="Y30" s="22">
        <f>IF(AND(Y$4&gt;=$D30,Y$4&lt;=$E30),1,0)</f>
        <v>0</v>
      </c>
      <c r="Z30" s="22">
        <f>IF(AND(Z$4&gt;=$D30,Z$4&lt;=$E30),1,0)</f>
        <v>0</v>
      </c>
      <c r="AA30" s="22">
        <f>IF(AND(AA$4&gt;=$D30,AA$4&lt;=$E30),1,0)</f>
        <v>0</v>
      </c>
      <c r="AB30" s="22">
        <f>IF(AND(AB$4&gt;=$D30,AB$4&lt;=$E30),1,0)</f>
        <v>0</v>
      </c>
      <c r="AC30" s="22">
        <f>IF(AND(AC$4&gt;=$D30,AC$4&lt;=$E30),1,0)</f>
        <v>0</v>
      </c>
      <c r="AD30" s="22">
        <f>IF(AND(AD$4&gt;=$D30,AD$4&lt;=$E30),1,0)</f>
        <v>0</v>
      </c>
      <c r="AE30" s="22">
        <f>IF(AND(AE$4&gt;=$D30,AE$4&lt;=$E30),1,0)</f>
        <v>0</v>
      </c>
      <c r="AF30" s="22">
        <f>IF(AND(AF$4&gt;=$D30,AF$4&lt;=$E30),1,0)</f>
        <v>0</v>
      </c>
      <c r="AG30" s="22">
        <f>IF(AND(AG$4&gt;=$D30,AG$4&lt;=$E30),1,0)</f>
        <v>0</v>
      </c>
      <c r="AH30" s="22">
        <f>IF(AND(AH$4&gt;=$D30,AH$4&lt;=$E30),1,0)</f>
        <v>0</v>
      </c>
      <c r="AI30" s="22">
        <f>IF(AND(AI$4&gt;=$D30,AI$4&lt;=$E30),1,0)</f>
        <v>0</v>
      </c>
      <c r="AJ30" s="22">
        <f>IF(AND(AJ$4&gt;=$D30,AJ$4&lt;=$E30),1,0)</f>
        <v>0</v>
      </c>
      <c r="AK30" s="22">
        <f>IF(AND(AK$4&gt;=$D30,AK$4&lt;=$E30),1,0)</f>
        <v>0</v>
      </c>
      <c r="AL30" s="22">
        <f>IF(AND(AL$4&gt;=$D30,AL$4&lt;=$E30),1,0)</f>
        <v>0</v>
      </c>
      <c r="AM30" s="22">
        <f>IF(AND(AM$4&gt;=$D30,AM$4&lt;=$E30),1,0)</f>
        <v>0</v>
      </c>
      <c r="AN30" s="22">
        <f>IF(AND(AN$4&gt;=$D30,AN$4&lt;=$E30),1,0)</f>
        <v>0</v>
      </c>
      <c r="AO30" s="22">
        <f>IF(AND(AO$4&gt;=$D30,AO$4&lt;=$E30),1,0)</f>
        <v>0</v>
      </c>
    </row>
    <row r="31" ht="30" customHeight="1">
      <c r="A31" s="11" t="inlineStr">
        <is>
          <t>T07-SV</t>
        </is>
      </c>
      <c r="B31" s="11" t="inlineStr">
        <is>
          <t>Persistence inventory và giao dịch nội bộ</t>
        </is>
      </c>
      <c r="C31" s="11" t="inlineStr">
        <is>
          <t>SV</t>
        </is>
      </c>
      <c r="D31" s="11">
        <f>'13_WBS'!G31</f>
        <v>13</v>
      </c>
      <c r="E31" s="11">
        <f>'13_WBS'!H31</f>
        <v>14</v>
      </c>
      <c r="F31" s="21">
        <f>IF(AND(F$4&gt;=$D31,F$4&lt;=$E31),1,0)</f>
        <v>0</v>
      </c>
      <c r="G31" s="21">
        <f>IF(AND(G$4&gt;=$D31,G$4&lt;=$E31),1,0)</f>
        <v>0</v>
      </c>
      <c r="H31" s="21">
        <f>IF(AND(H$4&gt;=$D31,H$4&lt;=$E31),1,0)</f>
        <v>0</v>
      </c>
      <c r="I31" s="21">
        <f>IF(AND(I$4&gt;=$D31,I$4&lt;=$E31),1,0)</f>
        <v>0</v>
      </c>
      <c r="J31" s="21">
        <f>IF(AND(J$4&gt;=$D31,J$4&lt;=$E31),1,0)</f>
        <v>0</v>
      </c>
      <c r="K31" s="21">
        <f>IF(AND(K$4&gt;=$D31,K$4&lt;=$E31),1,0)</f>
        <v>0</v>
      </c>
      <c r="L31" s="21">
        <f>IF(AND(L$4&gt;=$D31,L$4&lt;=$E31),1,0)</f>
        <v>0</v>
      </c>
      <c r="M31" s="21">
        <f>IF(AND(M$4&gt;=$D31,M$4&lt;=$E31),1,0)</f>
        <v>0</v>
      </c>
      <c r="N31" s="21">
        <f>IF(AND(N$4&gt;=$D31,N$4&lt;=$E31),1,0)</f>
        <v>0</v>
      </c>
      <c r="O31" s="21">
        <f>IF(AND(O$4&gt;=$D31,O$4&lt;=$E31),1,0)</f>
        <v>0</v>
      </c>
      <c r="P31" s="21">
        <f>IF(AND(P$4&gt;=$D31,P$4&lt;=$E31),1,0)</f>
        <v>0</v>
      </c>
      <c r="Q31" s="21">
        <f>IF(AND(Q$4&gt;=$D31,Q$4&lt;=$E31),1,0)</f>
        <v>0</v>
      </c>
      <c r="R31" s="21">
        <f>IF(AND(R$4&gt;=$D31,R$4&lt;=$E31),1,0)</f>
        <v>1</v>
      </c>
      <c r="S31" s="21">
        <f>IF(AND(S$4&gt;=$D31,S$4&lt;=$E31),1,0)</f>
        <v>1</v>
      </c>
      <c r="T31" s="21">
        <f>IF(AND(T$4&gt;=$D31,T$4&lt;=$E31),1,0)</f>
        <v>0</v>
      </c>
      <c r="U31" s="21">
        <f>IF(AND(U$4&gt;=$D31,U$4&lt;=$E31),1,0)</f>
        <v>0</v>
      </c>
      <c r="V31" s="21">
        <f>IF(AND(V$4&gt;=$D31,V$4&lt;=$E31),1,0)</f>
        <v>0</v>
      </c>
      <c r="W31" s="21">
        <f>IF(AND(W$4&gt;=$D31,W$4&lt;=$E31),1,0)</f>
        <v>0</v>
      </c>
      <c r="X31" s="21">
        <f>IF(AND(X$4&gt;=$D31,X$4&lt;=$E31),1,0)</f>
        <v>0</v>
      </c>
      <c r="Y31" s="21">
        <f>IF(AND(Y$4&gt;=$D31,Y$4&lt;=$E31),1,0)</f>
        <v>0</v>
      </c>
      <c r="Z31" s="21">
        <f>IF(AND(Z$4&gt;=$D31,Z$4&lt;=$E31),1,0)</f>
        <v>0</v>
      </c>
      <c r="AA31" s="21">
        <f>IF(AND(AA$4&gt;=$D31,AA$4&lt;=$E31),1,0)</f>
        <v>0</v>
      </c>
      <c r="AB31" s="21">
        <f>IF(AND(AB$4&gt;=$D31,AB$4&lt;=$E31),1,0)</f>
        <v>0</v>
      </c>
      <c r="AC31" s="21">
        <f>IF(AND(AC$4&gt;=$D31,AC$4&lt;=$E31),1,0)</f>
        <v>0</v>
      </c>
      <c r="AD31" s="21">
        <f>IF(AND(AD$4&gt;=$D31,AD$4&lt;=$E31),1,0)</f>
        <v>0</v>
      </c>
      <c r="AE31" s="21">
        <f>IF(AND(AE$4&gt;=$D31,AE$4&lt;=$E31),1,0)</f>
        <v>0</v>
      </c>
      <c r="AF31" s="21">
        <f>IF(AND(AF$4&gt;=$D31,AF$4&lt;=$E31),1,0)</f>
        <v>0</v>
      </c>
      <c r="AG31" s="21">
        <f>IF(AND(AG$4&gt;=$D31,AG$4&lt;=$E31),1,0)</f>
        <v>0</v>
      </c>
      <c r="AH31" s="21">
        <f>IF(AND(AH$4&gt;=$D31,AH$4&lt;=$E31),1,0)</f>
        <v>0</v>
      </c>
      <c r="AI31" s="21">
        <f>IF(AND(AI$4&gt;=$D31,AI$4&lt;=$E31),1,0)</f>
        <v>0</v>
      </c>
      <c r="AJ31" s="21">
        <f>IF(AND(AJ$4&gt;=$D31,AJ$4&lt;=$E31),1,0)</f>
        <v>0</v>
      </c>
      <c r="AK31" s="21">
        <f>IF(AND(AK$4&gt;=$D31,AK$4&lt;=$E31),1,0)</f>
        <v>0</v>
      </c>
      <c r="AL31" s="21">
        <f>IF(AND(AL$4&gt;=$D31,AL$4&lt;=$E31),1,0)</f>
        <v>0</v>
      </c>
      <c r="AM31" s="21">
        <f>IF(AND(AM$4&gt;=$D31,AM$4&lt;=$E31),1,0)</f>
        <v>0</v>
      </c>
      <c r="AN31" s="21">
        <f>IF(AND(AN$4&gt;=$D31,AN$4&lt;=$E31),1,0)</f>
        <v>0</v>
      </c>
      <c r="AO31" s="21">
        <f>IF(AND(AO$4&gt;=$D31,AO$4&lt;=$E31),1,0)</f>
        <v>0</v>
      </c>
    </row>
    <row r="32" ht="30" customHeight="1">
      <c r="A32" s="12" t="inlineStr">
        <is>
          <t>T07-AR</t>
        </is>
      </c>
      <c r="B32" s="12" t="inlineStr">
        <is>
          <t>Icon Cổ và UI inventory</t>
        </is>
      </c>
      <c r="C32" s="12" t="inlineStr">
        <is>
          <t>AR</t>
        </is>
      </c>
      <c r="D32" s="12">
        <f>'13_WBS'!G32</f>
        <v>13</v>
      </c>
      <c r="E32" s="12">
        <f>'13_WBS'!H32</f>
        <v>14</v>
      </c>
      <c r="F32" s="22">
        <f>IF(AND(F$4&gt;=$D32,F$4&lt;=$E32),1,0)</f>
        <v>0</v>
      </c>
      <c r="G32" s="22">
        <f>IF(AND(G$4&gt;=$D32,G$4&lt;=$E32),1,0)</f>
        <v>0</v>
      </c>
      <c r="H32" s="22">
        <f>IF(AND(H$4&gt;=$D32,H$4&lt;=$E32),1,0)</f>
        <v>0</v>
      </c>
      <c r="I32" s="22">
        <f>IF(AND(I$4&gt;=$D32,I$4&lt;=$E32),1,0)</f>
        <v>0</v>
      </c>
      <c r="J32" s="22">
        <f>IF(AND(J$4&gt;=$D32,J$4&lt;=$E32),1,0)</f>
        <v>0</v>
      </c>
      <c r="K32" s="22">
        <f>IF(AND(K$4&gt;=$D32,K$4&lt;=$E32),1,0)</f>
        <v>0</v>
      </c>
      <c r="L32" s="22">
        <f>IF(AND(L$4&gt;=$D32,L$4&lt;=$E32),1,0)</f>
        <v>0</v>
      </c>
      <c r="M32" s="22">
        <f>IF(AND(M$4&gt;=$D32,M$4&lt;=$E32),1,0)</f>
        <v>0</v>
      </c>
      <c r="N32" s="22">
        <f>IF(AND(N$4&gt;=$D32,N$4&lt;=$E32),1,0)</f>
        <v>0</v>
      </c>
      <c r="O32" s="22">
        <f>IF(AND(O$4&gt;=$D32,O$4&lt;=$E32),1,0)</f>
        <v>0</v>
      </c>
      <c r="P32" s="22">
        <f>IF(AND(P$4&gt;=$D32,P$4&lt;=$E32),1,0)</f>
        <v>0</v>
      </c>
      <c r="Q32" s="22">
        <f>IF(AND(Q$4&gt;=$D32,Q$4&lt;=$E32),1,0)</f>
        <v>0</v>
      </c>
      <c r="R32" s="22">
        <f>IF(AND(R$4&gt;=$D32,R$4&lt;=$E32),1,0)</f>
        <v>1</v>
      </c>
      <c r="S32" s="22">
        <f>IF(AND(S$4&gt;=$D32,S$4&lt;=$E32),1,0)</f>
        <v>1</v>
      </c>
      <c r="T32" s="22">
        <f>IF(AND(T$4&gt;=$D32,T$4&lt;=$E32),1,0)</f>
        <v>0</v>
      </c>
      <c r="U32" s="22">
        <f>IF(AND(U$4&gt;=$D32,U$4&lt;=$E32),1,0)</f>
        <v>0</v>
      </c>
      <c r="V32" s="22">
        <f>IF(AND(V$4&gt;=$D32,V$4&lt;=$E32),1,0)</f>
        <v>0</v>
      </c>
      <c r="W32" s="22">
        <f>IF(AND(W$4&gt;=$D32,W$4&lt;=$E32),1,0)</f>
        <v>0</v>
      </c>
      <c r="X32" s="22">
        <f>IF(AND(X$4&gt;=$D32,X$4&lt;=$E32),1,0)</f>
        <v>0</v>
      </c>
      <c r="Y32" s="22">
        <f>IF(AND(Y$4&gt;=$D32,Y$4&lt;=$E32),1,0)</f>
        <v>0</v>
      </c>
      <c r="Z32" s="22">
        <f>IF(AND(Z$4&gt;=$D32,Z$4&lt;=$E32),1,0)</f>
        <v>0</v>
      </c>
      <c r="AA32" s="22">
        <f>IF(AND(AA$4&gt;=$D32,AA$4&lt;=$E32),1,0)</f>
        <v>0</v>
      </c>
      <c r="AB32" s="22">
        <f>IF(AND(AB$4&gt;=$D32,AB$4&lt;=$E32),1,0)</f>
        <v>0</v>
      </c>
      <c r="AC32" s="22">
        <f>IF(AND(AC$4&gt;=$D32,AC$4&lt;=$E32),1,0)</f>
        <v>0</v>
      </c>
      <c r="AD32" s="22">
        <f>IF(AND(AD$4&gt;=$D32,AD$4&lt;=$E32),1,0)</f>
        <v>0</v>
      </c>
      <c r="AE32" s="22">
        <f>IF(AND(AE$4&gt;=$D32,AE$4&lt;=$E32),1,0)</f>
        <v>0</v>
      </c>
      <c r="AF32" s="22">
        <f>IF(AND(AF$4&gt;=$D32,AF$4&lt;=$E32),1,0)</f>
        <v>0</v>
      </c>
      <c r="AG32" s="22">
        <f>IF(AND(AG$4&gt;=$D32,AG$4&lt;=$E32),1,0)</f>
        <v>0</v>
      </c>
      <c r="AH32" s="22">
        <f>IF(AND(AH$4&gt;=$D32,AH$4&lt;=$E32),1,0)</f>
        <v>0</v>
      </c>
      <c r="AI32" s="22">
        <f>IF(AND(AI$4&gt;=$D32,AI$4&lt;=$E32),1,0)</f>
        <v>0</v>
      </c>
      <c r="AJ32" s="22">
        <f>IF(AND(AJ$4&gt;=$D32,AJ$4&lt;=$E32),1,0)</f>
        <v>0</v>
      </c>
      <c r="AK32" s="22">
        <f>IF(AND(AK$4&gt;=$D32,AK$4&lt;=$E32),1,0)</f>
        <v>0</v>
      </c>
      <c r="AL32" s="22">
        <f>IF(AND(AL$4&gt;=$D32,AL$4&lt;=$E32),1,0)</f>
        <v>0</v>
      </c>
      <c r="AM32" s="22">
        <f>IF(AND(AM$4&gt;=$D32,AM$4&lt;=$E32),1,0)</f>
        <v>0</v>
      </c>
      <c r="AN32" s="22">
        <f>IF(AND(AN$4&gt;=$D32,AN$4&lt;=$E32),1,0)</f>
        <v>0</v>
      </c>
      <c r="AO32" s="22">
        <f>IF(AND(AO$4&gt;=$D32,AO$4&lt;=$E32),1,0)</f>
        <v>0</v>
      </c>
    </row>
    <row r="33" ht="30" customHeight="1">
      <c r="A33" s="11" t="inlineStr">
        <is>
          <t>T08-GD</t>
        </is>
      </c>
      <c r="B33" s="11" t="inlineStr">
        <is>
          <t>Luật bắt và nuôi Cổ, thử chi phí thức ăn</t>
        </is>
      </c>
      <c r="C33" s="11" t="inlineStr">
        <is>
          <t>GD</t>
        </is>
      </c>
      <c r="D33" s="11">
        <f>'13_WBS'!G33</f>
        <v>15</v>
      </c>
      <c r="E33" s="11">
        <f>'13_WBS'!H33</f>
        <v>16</v>
      </c>
      <c r="F33" s="21">
        <f>IF(AND(F$4&gt;=$D33,F$4&lt;=$E33),1,0)</f>
        <v>0</v>
      </c>
      <c r="G33" s="21">
        <f>IF(AND(G$4&gt;=$D33,G$4&lt;=$E33),1,0)</f>
        <v>0</v>
      </c>
      <c r="H33" s="21">
        <f>IF(AND(H$4&gt;=$D33,H$4&lt;=$E33),1,0)</f>
        <v>0</v>
      </c>
      <c r="I33" s="21">
        <f>IF(AND(I$4&gt;=$D33,I$4&lt;=$E33),1,0)</f>
        <v>0</v>
      </c>
      <c r="J33" s="21">
        <f>IF(AND(J$4&gt;=$D33,J$4&lt;=$E33),1,0)</f>
        <v>0</v>
      </c>
      <c r="K33" s="21">
        <f>IF(AND(K$4&gt;=$D33,K$4&lt;=$E33),1,0)</f>
        <v>0</v>
      </c>
      <c r="L33" s="21">
        <f>IF(AND(L$4&gt;=$D33,L$4&lt;=$E33),1,0)</f>
        <v>0</v>
      </c>
      <c r="M33" s="21">
        <f>IF(AND(M$4&gt;=$D33,M$4&lt;=$E33),1,0)</f>
        <v>0</v>
      </c>
      <c r="N33" s="21">
        <f>IF(AND(N$4&gt;=$D33,N$4&lt;=$E33),1,0)</f>
        <v>0</v>
      </c>
      <c r="O33" s="21">
        <f>IF(AND(O$4&gt;=$D33,O$4&lt;=$E33),1,0)</f>
        <v>0</v>
      </c>
      <c r="P33" s="21">
        <f>IF(AND(P$4&gt;=$D33,P$4&lt;=$E33),1,0)</f>
        <v>0</v>
      </c>
      <c r="Q33" s="21">
        <f>IF(AND(Q$4&gt;=$D33,Q$4&lt;=$E33),1,0)</f>
        <v>0</v>
      </c>
      <c r="R33" s="21">
        <f>IF(AND(R$4&gt;=$D33,R$4&lt;=$E33),1,0)</f>
        <v>0</v>
      </c>
      <c r="S33" s="21">
        <f>IF(AND(S$4&gt;=$D33,S$4&lt;=$E33),1,0)</f>
        <v>0</v>
      </c>
      <c r="T33" s="21">
        <f>IF(AND(T$4&gt;=$D33,T$4&lt;=$E33),1,0)</f>
        <v>1</v>
      </c>
      <c r="U33" s="21">
        <f>IF(AND(U$4&gt;=$D33,U$4&lt;=$E33),1,0)</f>
        <v>1</v>
      </c>
      <c r="V33" s="21">
        <f>IF(AND(V$4&gt;=$D33,V$4&lt;=$E33),1,0)</f>
        <v>0</v>
      </c>
      <c r="W33" s="21">
        <f>IF(AND(W$4&gt;=$D33,W$4&lt;=$E33),1,0)</f>
        <v>0</v>
      </c>
      <c r="X33" s="21">
        <f>IF(AND(X$4&gt;=$D33,X$4&lt;=$E33),1,0)</f>
        <v>0</v>
      </c>
      <c r="Y33" s="21">
        <f>IF(AND(Y$4&gt;=$D33,Y$4&lt;=$E33),1,0)</f>
        <v>0</v>
      </c>
      <c r="Z33" s="21">
        <f>IF(AND(Z$4&gt;=$D33,Z$4&lt;=$E33),1,0)</f>
        <v>0</v>
      </c>
      <c r="AA33" s="21">
        <f>IF(AND(AA$4&gt;=$D33,AA$4&lt;=$E33),1,0)</f>
        <v>0</v>
      </c>
      <c r="AB33" s="21">
        <f>IF(AND(AB$4&gt;=$D33,AB$4&lt;=$E33),1,0)</f>
        <v>0</v>
      </c>
      <c r="AC33" s="21">
        <f>IF(AND(AC$4&gt;=$D33,AC$4&lt;=$E33),1,0)</f>
        <v>0</v>
      </c>
      <c r="AD33" s="21">
        <f>IF(AND(AD$4&gt;=$D33,AD$4&lt;=$E33),1,0)</f>
        <v>0</v>
      </c>
      <c r="AE33" s="21">
        <f>IF(AND(AE$4&gt;=$D33,AE$4&lt;=$E33),1,0)</f>
        <v>0</v>
      </c>
      <c r="AF33" s="21">
        <f>IF(AND(AF$4&gt;=$D33,AF$4&lt;=$E33),1,0)</f>
        <v>0</v>
      </c>
      <c r="AG33" s="21">
        <f>IF(AND(AG$4&gt;=$D33,AG$4&lt;=$E33),1,0)</f>
        <v>0</v>
      </c>
      <c r="AH33" s="21">
        <f>IF(AND(AH$4&gt;=$D33,AH$4&lt;=$E33),1,0)</f>
        <v>0</v>
      </c>
      <c r="AI33" s="21">
        <f>IF(AND(AI$4&gt;=$D33,AI$4&lt;=$E33),1,0)</f>
        <v>0</v>
      </c>
      <c r="AJ33" s="21">
        <f>IF(AND(AJ$4&gt;=$D33,AJ$4&lt;=$E33),1,0)</f>
        <v>0</v>
      </c>
      <c r="AK33" s="21">
        <f>IF(AND(AK$4&gt;=$D33,AK$4&lt;=$E33),1,0)</f>
        <v>0</v>
      </c>
      <c r="AL33" s="21">
        <f>IF(AND(AL$4&gt;=$D33,AL$4&lt;=$E33),1,0)</f>
        <v>0</v>
      </c>
      <c r="AM33" s="21">
        <f>IF(AND(AM$4&gt;=$D33,AM$4&lt;=$E33),1,0)</f>
        <v>0</v>
      </c>
      <c r="AN33" s="21">
        <f>IF(AND(AN$4&gt;=$D33,AN$4&lt;=$E33),1,0)</f>
        <v>0</v>
      </c>
      <c r="AO33" s="21">
        <f>IF(AND(AO$4&gt;=$D33,AO$4&lt;=$E33),1,0)</f>
        <v>0</v>
      </c>
    </row>
    <row r="34" ht="30" customHeight="1">
      <c r="A34" s="12" t="inlineStr">
        <is>
          <t>T08-CL</t>
        </is>
      </c>
      <c r="B34" s="12" t="inlineStr">
        <is>
          <t>UI săn bắt và nuôi Cổ</t>
        </is>
      </c>
      <c r="C34" s="12" t="inlineStr">
        <is>
          <t>CL</t>
        </is>
      </c>
      <c r="D34" s="12">
        <f>'13_WBS'!G34</f>
        <v>15</v>
      </c>
      <c r="E34" s="12">
        <f>'13_WBS'!H34</f>
        <v>16</v>
      </c>
      <c r="F34" s="22">
        <f>IF(AND(F$4&gt;=$D34,F$4&lt;=$E34),1,0)</f>
        <v>0</v>
      </c>
      <c r="G34" s="22">
        <f>IF(AND(G$4&gt;=$D34,G$4&lt;=$E34),1,0)</f>
        <v>0</v>
      </c>
      <c r="H34" s="22">
        <f>IF(AND(H$4&gt;=$D34,H$4&lt;=$E34),1,0)</f>
        <v>0</v>
      </c>
      <c r="I34" s="22">
        <f>IF(AND(I$4&gt;=$D34,I$4&lt;=$E34),1,0)</f>
        <v>0</v>
      </c>
      <c r="J34" s="22">
        <f>IF(AND(J$4&gt;=$D34,J$4&lt;=$E34),1,0)</f>
        <v>0</v>
      </c>
      <c r="K34" s="22">
        <f>IF(AND(K$4&gt;=$D34,K$4&lt;=$E34),1,0)</f>
        <v>0</v>
      </c>
      <c r="L34" s="22">
        <f>IF(AND(L$4&gt;=$D34,L$4&lt;=$E34),1,0)</f>
        <v>0</v>
      </c>
      <c r="M34" s="22">
        <f>IF(AND(M$4&gt;=$D34,M$4&lt;=$E34),1,0)</f>
        <v>0</v>
      </c>
      <c r="N34" s="22">
        <f>IF(AND(N$4&gt;=$D34,N$4&lt;=$E34),1,0)</f>
        <v>0</v>
      </c>
      <c r="O34" s="22">
        <f>IF(AND(O$4&gt;=$D34,O$4&lt;=$E34),1,0)</f>
        <v>0</v>
      </c>
      <c r="P34" s="22">
        <f>IF(AND(P$4&gt;=$D34,P$4&lt;=$E34),1,0)</f>
        <v>0</v>
      </c>
      <c r="Q34" s="22">
        <f>IF(AND(Q$4&gt;=$D34,Q$4&lt;=$E34),1,0)</f>
        <v>0</v>
      </c>
      <c r="R34" s="22">
        <f>IF(AND(R$4&gt;=$D34,R$4&lt;=$E34),1,0)</f>
        <v>0</v>
      </c>
      <c r="S34" s="22">
        <f>IF(AND(S$4&gt;=$D34,S$4&lt;=$E34),1,0)</f>
        <v>0</v>
      </c>
      <c r="T34" s="22">
        <f>IF(AND(T$4&gt;=$D34,T$4&lt;=$E34),1,0)</f>
        <v>1</v>
      </c>
      <c r="U34" s="22">
        <f>IF(AND(U$4&gt;=$D34,U$4&lt;=$E34),1,0)</f>
        <v>1</v>
      </c>
      <c r="V34" s="22">
        <f>IF(AND(V$4&gt;=$D34,V$4&lt;=$E34),1,0)</f>
        <v>0</v>
      </c>
      <c r="W34" s="22">
        <f>IF(AND(W$4&gt;=$D34,W$4&lt;=$E34),1,0)</f>
        <v>0</v>
      </c>
      <c r="X34" s="22">
        <f>IF(AND(X$4&gt;=$D34,X$4&lt;=$E34),1,0)</f>
        <v>0</v>
      </c>
      <c r="Y34" s="22">
        <f>IF(AND(Y$4&gt;=$D34,Y$4&lt;=$E34),1,0)</f>
        <v>0</v>
      </c>
      <c r="Z34" s="22">
        <f>IF(AND(Z$4&gt;=$D34,Z$4&lt;=$E34),1,0)</f>
        <v>0</v>
      </c>
      <c r="AA34" s="22">
        <f>IF(AND(AA$4&gt;=$D34,AA$4&lt;=$E34),1,0)</f>
        <v>0</v>
      </c>
      <c r="AB34" s="22">
        <f>IF(AND(AB$4&gt;=$D34,AB$4&lt;=$E34),1,0)</f>
        <v>0</v>
      </c>
      <c r="AC34" s="22">
        <f>IF(AND(AC$4&gt;=$D34,AC$4&lt;=$E34),1,0)</f>
        <v>0</v>
      </c>
      <c r="AD34" s="22">
        <f>IF(AND(AD$4&gt;=$D34,AD$4&lt;=$E34),1,0)</f>
        <v>0</v>
      </c>
      <c r="AE34" s="22">
        <f>IF(AND(AE$4&gt;=$D34,AE$4&lt;=$E34),1,0)</f>
        <v>0</v>
      </c>
      <c r="AF34" s="22">
        <f>IF(AND(AF$4&gt;=$D34,AF$4&lt;=$E34),1,0)</f>
        <v>0</v>
      </c>
      <c r="AG34" s="22">
        <f>IF(AND(AG$4&gt;=$D34,AG$4&lt;=$E34),1,0)</f>
        <v>0</v>
      </c>
      <c r="AH34" s="22">
        <f>IF(AND(AH$4&gt;=$D34,AH$4&lt;=$E34),1,0)</f>
        <v>0</v>
      </c>
      <c r="AI34" s="22">
        <f>IF(AND(AI$4&gt;=$D34,AI$4&lt;=$E34),1,0)</f>
        <v>0</v>
      </c>
      <c r="AJ34" s="22">
        <f>IF(AND(AJ$4&gt;=$D34,AJ$4&lt;=$E34),1,0)</f>
        <v>0</v>
      </c>
      <c r="AK34" s="22">
        <f>IF(AND(AK$4&gt;=$D34,AK$4&lt;=$E34),1,0)</f>
        <v>0</v>
      </c>
      <c r="AL34" s="22">
        <f>IF(AND(AL$4&gt;=$D34,AL$4&lt;=$E34),1,0)</f>
        <v>0</v>
      </c>
      <c r="AM34" s="22">
        <f>IF(AND(AM$4&gt;=$D34,AM$4&lt;=$E34),1,0)</f>
        <v>0</v>
      </c>
      <c r="AN34" s="22">
        <f>IF(AND(AN$4&gt;=$D34,AN$4&lt;=$E34),1,0)</f>
        <v>0</v>
      </c>
      <c r="AO34" s="22">
        <f>IF(AND(AO$4&gt;=$D34,AO$4&lt;=$E34),1,0)</f>
        <v>0</v>
      </c>
    </row>
    <row r="35" ht="30" customHeight="1">
      <c r="A35" s="11" t="inlineStr">
        <is>
          <t>T08-SV</t>
        </is>
      </c>
      <c r="B35" s="11" t="inlineStr">
        <is>
          <t>Capture và feeding authoritative</t>
        </is>
      </c>
      <c r="C35" s="11" t="inlineStr">
        <is>
          <t>SV</t>
        </is>
      </c>
      <c r="D35" s="11">
        <f>'13_WBS'!G35</f>
        <v>15</v>
      </c>
      <c r="E35" s="11">
        <f>'13_WBS'!H35</f>
        <v>16</v>
      </c>
      <c r="F35" s="21">
        <f>IF(AND(F$4&gt;=$D35,F$4&lt;=$E35),1,0)</f>
        <v>0</v>
      </c>
      <c r="G35" s="21">
        <f>IF(AND(G$4&gt;=$D35,G$4&lt;=$E35),1,0)</f>
        <v>0</v>
      </c>
      <c r="H35" s="21">
        <f>IF(AND(H$4&gt;=$D35,H$4&lt;=$E35),1,0)</f>
        <v>0</v>
      </c>
      <c r="I35" s="21">
        <f>IF(AND(I$4&gt;=$D35,I$4&lt;=$E35),1,0)</f>
        <v>0</v>
      </c>
      <c r="J35" s="21">
        <f>IF(AND(J$4&gt;=$D35,J$4&lt;=$E35),1,0)</f>
        <v>0</v>
      </c>
      <c r="K35" s="21">
        <f>IF(AND(K$4&gt;=$D35,K$4&lt;=$E35),1,0)</f>
        <v>0</v>
      </c>
      <c r="L35" s="21">
        <f>IF(AND(L$4&gt;=$D35,L$4&lt;=$E35),1,0)</f>
        <v>0</v>
      </c>
      <c r="M35" s="21">
        <f>IF(AND(M$4&gt;=$D35,M$4&lt;=$E35),1,0)</f>
        <v>0</v>
      </c>
      <c r="N35" s="21">
        <f>IF(AND(N$4&gt;=$D35,N$4&lt;=$E35),1,0)</f>
        <v>0</v>
      </c>
      <c r="O35" s="21">
        <f>IF(AND(O$4&gt;=$D35,O$4&lt;=$E35),1,0)</f>
        <v>0</v>
      </c>
      <c r="P35" s="21">
        <f>IF(AND(P$4&gt;=$D35,P$4&lt;=$E35),1,0)</f>
        <v>0</v>
      </c>
      <c r="Q35" s="21">
        <f>IF(AND(Q$4&gt;=$D35,Q$4&lt;=$E35),1,0)</f>
        <v>0</v>
      </c>
      <c r="R35" s="21">
        <f>IF(AND(R$4&gt;=$D35,R$4&lt;=$E35),1,0)</f>
        <v>0</v>
      </c>
      <c r="S35" s="21">
        <f>IF(AND(S$4&gt;=$D35,S$4&lt;=$E35),1,0)</f>
        <v>0</v>
      </c>
      <c r="T35" s="21">
        <f>IF(AND(T$4&gt;=$D35,T$4&lt;=$E35),1,0)</f>
        <v>1</v>
      </c>
      <c r="U35" s="21">
        <f>IF(AND(U$4&gt;=$D35,U$4&lt;=$E35),1,0)</f>
        <v>1</v>
      </c>
      <c r="V35" s="21">
        <f>IF(AND(V$4&gt;=$D35,V$4&lt;=$E35),1,0)</f>
        <v>0</v>
      </c>
      <c r="W35" s="21">
        <f>IF(AND(W$4&gt;=$D35,W$4&lt;=$E35),1,0)</f>
        <v>0</v>
      </c>
      <c r="X35" s="21">
        <f>IF(AND(X$4&gt;=$D35,X$4&lt;=$E35),1,0)</f>
        <v>0</v>
      </c>
      <c r="Y35" s="21">
        <f>IF(AND(Y$4&gt;=$D35,Y$4&lt;=$E35),1,0)</f>
        <v>0</v>
      </c>
      <c r="Z35" s="21">
        <f>IF(AND(Z$4&gt;=$D35,Z$4&lt;=$E35),1,0)</f>
        <v>0</v>
      </c>
      <c r="AA35" s="21">
        <f>IF(AND(AA$4&gt;=$D35,AA$4&lt;=$E35),1,0)</f>
        <v>0</v>
      </c>
      <c r="AB35" s="21">
        <f>IF(AND(AB$4&gt;=$D35,AB$4&lt;=$E35),1,0)</f>
        <v>0</v>
      </c>
      <c r="AC35" s="21">
        <f>IF(AND(AC$4&gt;=$D35,AC$4&lt;=$E35),1,0)</f>
        <v>0</v>
      </c>
      <c r="AD35" s="21">
        <f>IF(AND(AD$4&gt;=$D35,AD$4&lt;=$E35),1,0)</f>
        <v>0</v>
      </c>
      <c r="AE35" s="21">
        <f>IF(AND(AE$4&gt;=$D35,AE$4&lt;=$E35),1,0)</f>
        <v>0</v>
      </c>
      <c r="AF35" s="21">
        <f>IF(AND(AF$4&gt;=$D35,AF$4&lt;=$E35),1,0)</f>
        <v>0</v>
      </c>
      <c r="AG35" s="21">
        <f>IF(AND(AG$4&gt;=$D35,AG$4&lt;=$E35),1,0)</f>
        <v>0</v>
      </c>
      <c r="AH35" s="21">
        <f>IF(AND(AH$4&gt;=$D35,AH$4&lt;=$E35),1,0)</f>
        <v>0</v>
      </c>
      <c r="AI35" s="21">
        <f>IF(AND(AI$4&gt;=$D35,AI$4&lt;=$E35),1,0)</f>
        <v>0</v>
      </c>
      <c r="AJ35" s="21">
        <f>IF(AND(AJ$4&gt;=$D35,AJ$4&lt;=$E35),1,0)</f>
        <v>0</v>
      </c>
      <c r="AK35" s="21">
        <f>IF(AND(AK$4&gt;=$D35,AK$4&lt;=$E35),1,0)</f>
        <v>0</v>
      </c>
      <c r="AL35" s="21">
        <f>IF(AND(AL$4&gt;=$D35,AL$4&lt;=$E35),1,0)</f>
        <v>0</v>
      </c>
      <c r="AM35" s="21">
        <f>IF(AND(AM$4&gt;=$D35,AM$4&lt;=$E35),1,0)</f>
        <v>0</v>
      </c>
      <c r="AN35" s="21">
        <f>IF(AND(AN$4&gt;=$D35,AN$4&lt;=$E35),1,0)</f>
        <v>0</v>
      </c>
      <c r="AO35" s="21">
        <f>IF(AND(AO$4&gt;=$D35,AO$4&lt;=$E35),1,0)</f>
        <v>0</v>
      </c>
    </row>
    <row r="36" ht="30" customHeight="1">
      <c r="A36" s="12" t="inlineStr">
        <is>
          <t>T08-AR</t>
        </is>
      </c>
      <c r="B36" s="12" t="inlineStr">
        <is>
          <t>Hiệu ứng bắt Cổ và NPC luyện/nuôi</t>
        </is>
      </c>
      <c r="C36" s="12" t="inlineStr">
        <is>
          <t>AR</t>
        </is>
      </c>
      <c r="D36" s="12">
        <f>'13_WBS'!G36</f>
        <v>15</v>
      </c>
      <c r="E36" s="12">
        <f>'13_WBS'!H36</f>
        <v>16</v>
      </c>
      <c r="F36" s="22">
        <f>IF(AND(F$4&gt;=$D36,F$4&lt;=$E36),1,0)</f>
        <v>0</v>
      </c>
      <c r="G36" s="22">
        <f>IF(AND(G$4&gt;=$D36,G$4&lt;=$E36),1,0)</f>
        <v>0</v>
      </c>
      <c r="H36" s="22">
        <f>IF(AND(H$4&gt;=$D36,H$4&lt;=$E36),1,0)</f>
        <v>0</v>
      </c>
      <c r="I36" s="22">
        <f>IF(AND(I$4&gt;=$D36,I$4&lt;=$E36),1,0)</f>
        <v>0</v>
      </c>
      <c r="J36" s="22">
        <f>IF(AND(J$4&gt;=$D36,J$4&lt;=$E36),1,0)</f>
        <v>0</v>
      </c>
      <c r="K36" s="22">
        <f>IF(AND(K$4&gt;=$D36,K$4&lt;=$E36),1,0)</f>
        <v>0</v>
      </c>
      <c r="L36" s="22">
        <f>IF(AND(L$4&gt;=$D36,L$4&lt;=$E36),1,0)</f>
        <v>0</v>
      </c>
      <c r="M36" s="22">
        <f>IF(AND(M$4&gt;=$D36,M$4&lt;=$E36),1,0)</f>
        <v>0</v>
      </c>
      <c r="N36" s="22">
        <f>IF(AND(N$4&gt;=$D36,N$4&lt;=$E36),1,0)</f>
        <v>0</v>
      </c>
      <c r="O36" s="22">
        <f>IF(AND(O$4&gt;=$D36,O$4&lt;=$E36),1,0)</f>
        <v>0</v>
      </c>
      <c r="P36" s="22">
        <f>IF(AND(P$4&gt;=$D36,P$4&lt;=$E36),1,0)</f>
        <v>0</v>
      </c>
      <c r="Q36" s="22">
        <f>IF(AND(Q$4&gt;=$D36,Q$4&lt;=$E36),1,0)</f>
        <v>0</v>
      </c>
      <c r="R36" s="22">
        <f>IF(AND(R$4&gt;=$D36,R$4&lt;=$E36),1,0)</f>
        <v>0</v>
      </c>
      <c r="S36" s="22">
        <f>IF(AND(S$4&gt;=$D36,S$4&lt;=$E36),1,0)</f>
        <v>0</v>
      </c>
      <c r="T36" s="22">
        <f>IF(AND(T$4&gt;=$D36,T$4&lt;=$E36),1,0)</f>
        <v>1</v>
      </c>
      <c r="U36" s="22">
        <f>IF(AND(U$4&gt;=$D36,U$4&lt;=$E36),1,0)</f>
        <v>1</v>
      </c>
      <c r="V36" s="22">
        <f>IF(AND(V$4&gt;=$D36,V$4&lt;=$E36),1,0)</f>
        <v>0</v>
      </c>
      <c r="W36" s="22">
        <f>IF(AND(W$4&gt;=$D36,W$4&lt;=$E36),1,0)</f>
        <v>0</v>
      </c>
      <c r="X36" s="22">
        <f>IF(AND(X$4&gt;=$D36,X$4&lt;=$E36),1,0)</f>
        <v>0</v>
      </c>
      <c r="Y36" s="22">
        <f>IF(AND(Y$4&gt;=$D36,Y$4&lt;=$E36),1,0)</f>
        <v>0</v>
      </c>
      <c r="Z36" s="22">
        <f>IF(AND(Z$4&gt;=$D36,Z$4&lt;=$E36),1,0)</f>
        <v>0</v>
      </c>
      <c r="AA36" s="22">
        <f>IF(AND(AA$4&gt;=$D36,AA$4&lt;=$E36),1,0)</f>
        <v>0</v>
      </c>
      <c r="AB36" s="22">
        <f>IF(AND(AB$4&gt;=$D36,AB$4&lt;=$E36),1,0)</f>
        <v>0</v>
      </c>
      <c r="AC36" s="22">
        <f>IF(AND(AC$4&gt;=$D36,AC$4&lt;=$E36),1,0)</f>
        <v>0</v>
      </c>
      <c r="AD36" s="22">
        <f>IF(AND(AD$4&gt;=$D36,AD$4&lt;=$E36),1,0)</f>
        <v>0</v>
      </c>
      <c r="AE36" s="22">
        <f>IF(AND(AE$4&gt;=$D36,AE$4&lt;=$E36),1,0)</f>
        <v>0</v>
      </c>
      <c r="AF36" s="22">
        <f>IF(AND(AF$4&gt;=$D36,AF$4&lt;=$E36),1,0)</f>
        <v>0</v>
      </c>
      <c r="AG36" s="22">
        <f>IF(AND(AG$4&gt;=$D36,AG$4&lt;=$E36),1,0)</f>
        <v>0</v>
      </c>
      <c r="AH36" s="22">
        <f>IF(AND(AH$4&gt;=$D36,AH$4&lt;=$E36),1,0)</f>
        <v>0</v>
      </c>
      <c r="AI36" s="22">
        <f>IF(AND(AI$4&gt;=$D36,AI$4&lt;=$E36),1,0)</f>
        <v>0</v>
      </c>
      <c r="AJ36" s="22">
        <f>IF(AND(AJ$4&gt;=$D36,AJ$4&lt;=$E36),1,0)</f>
        <v>0</v>
      </c>
      <c r="AK36" s="22">
        <f>IF(AND(AK$4&gt;=$D36,AK$4&lt;=$E36),1,0)</f>
        <v>0</v>
      </c>
      <c r="AL36" s="22">
        <f>IF(AND(AL$4&gt;=$D36,AL$4&lt;=$E36),1,0)</f>
        <v>0</v>
      </c>
      <c r="AM36" s="22">
        <f>IF(AND(AM$4&gt;=$D36,AM$4&lt;=$E36),1,0)</f>
        <v>0</v>
      </c>
      <c r="AN36" s="22">
        <f>IF(AND(AN$4&gt;=$D36,AN$4&lt;=$E36),1,0)</f>
        <v>0</v>
      </c>
      <c r="AO36" s="22">
        <f>IF(AND(AO$4&gt;=$D36,AO$4&lt;=$E36),1,0)</f>
        <v>0</v>
      </c>
    </row>
    <row r="37" ht="30" customHeight="1">
      <c r="A37" s="11" t="inlineStr">
        <is>
          <t>T09-GD</t>
        </is>
      </c>
      <c r="B37" s="11" t="inlineStr">
        <is>
          <t>Công thức luyện và xác suất minh bạch</t>
        </is>
      </c>
      <c r="C37" s="11" t="inlineStr">
        <is>
          <t>GD</t>
        </is>
      </c>
      <c r="D37" s="11">
        <f>'13_WBS'!G37</f>
        <v>17</v>
      </c>
      <c r="E37" s="11">
        <f>'13_WBS'!H37</f>
        <v>18</v>
      </c>
      <c r="F37" s="21">
        <f>IF(AND(F$4&gt;=$D37,F$4&lt;=$E37),1,0)</f>
        <v>0</v>
      </c>
      <c r="G37" s="21">
        <f>IF(AND(G$4&gt;=$D37,G$4&lt;=$E37),1,0)</f>
        <v>0</v>
      </c>
      <c r="H37" s="21">
        <f>IF(AND(H$4&gt;=$D37,H$4&lt;=$E37),1,0)</f>
        <v>0</v>
      </c>
      <c r="I37" s="21">
        <f>IF(AND(I$4&gt;=$D37,I$4&lt;=$E37),1,0)</f>
        <v>0</v>
      </c>
      <c r="J37" s="21">
        <f>IF(AND(J$4&gt;=$D37,J$4&lt;=$E37),1,0)</f>
        <v>0</v>
      </c>
      <c r="K37" s="21">
        <f>IF(AND(K$4&gt;=$D37,K$4&lt;=$E37),1,0)</f>
        <v>0</v>
      </c>
      <c r="L37" s="21">
        <f>IF(AND(L$4&gt;=$D37,L$4&lt;=$E37),1,0)</f>
        <v>0</v>
      </c>
      <c r="M37" s="21">
        <f>IF(AND(M$4&gt;=$D37,M$4&lt;=$E37),1,0)</f>
        <v>0</v>
      </c>
      <c r="N37" s="21">
        <f>IF(AND(N$4&gt;=$D37,N$4&lt;=$E37),1,0)</f>
        <v>0</v>
      </c>
      <c r="O37" s="21">
        <f>IF(AND(O$4&gt;=$D37,O$4&lt;=$E37),1,0)</f>
        <v>0</v>
      </c>
      <c r="P37" s="21">
        <f>IF(AND(P$4&gt;=$D37,P$4&lt;=$E37),1,0)</f>
        <v>0</v>
      </c>
      <c r="Q37" s="21">
        <f>IF(AND(Q$4&gt;=$D37,Q$4&lt;=$E37),1,0)</f>
        <v>0</v>
      </c>
      <c r="R37" s="21">
        <f>IF(AND(R$4&gt;=$D37,R$4&lt;=$E37),1,0)</f>
        <v>0</v>
      </c>
      <c r="S37" s="21">
        <f>IF(AND(S$4&gt;=$D37,S$4&lt;=$E37),1,0)</f>
        <v>0</v>
      </c>
      <c r="T37" s="21">
        <f>IF(AND(T$4&gt;=$D37,T$4&lt;=$E37),1,0)</f>
        <v>0</v>
      </c>
      <c r="U37" s="21">
        <f>IF(AND(U$4&gt;=$D37,U$4&lt;=$E37),1,0)</f>
        <v>0</v>
      </c>
      <c r="V37" s="21">
        <f>IF(AND(V$4&gt;=$D37,V$4&lt;=$E37),1,0)</f>
        <v>1</v>
      </c>
      <c r="W37" s="21">
        <f>IF(AND(W$4&gt;=$D37,W$4&lt;=$E37),1,0)</f>
        <v>1</v>
      </c>
      <c r="X37" s="21">
        <f>IF(AND(X$4&gt;=$D37,X$4&lt;=$E37),1,0)</f>
        <v>0</v>
      </c>
      <c r="Y37" s="21">
        <f>IF(AND(Y$4&gt;=$D37,Y$4&lt;=$E37),1,0)</f>
        <v>0</v>
      </c>
      <c r="Z37" s="21">
        <f>IF(AND(Z$4&gt;=$D37,Z$4&lt;=$E37),1,0)</f>
        <v>0</v>
      </c>
      <c r="AA37" s="21">
        <f>IF(AND(AA$4&gt;=$D37,AA$4&lt;=$E37),1,0)</f>
        <v>0</v>
      </c>
      <c r="AB37" s="21">
        <f>IF(AND(AB$4&gt;=$D37,AB$4&lt;=$E37),1,0)</f>
        <v>0</v>
      </c>
      <c r="AC37" s="21">
        <f>IF(AND(AC$4&gt;=$D37,AC$4&lt;=$E37),1,0)</f>
        <v>0</v>
      </c>
      <c r="AD37" s="21">
        <f>IF(AND(AD$4&gt;=$D37,AD$4&lt;=$E37),1,0)</f>
        <v>0</v>
      </c>
      <c r="AE37" s="21">
        <f>IF(AND(AE$4&gt;=$D37,AE$4&lt;=$E37),1,0)</f>
        <v>0</v>
      </c>
      <c r="AF37" s="21">
        <f>IF(AND(AF$4&gt;=$D37,AF$4&lt;=$E37),1,0)</f>
        <v>0</v>
      </c>
      <c r="AG37" s="21">
        <f>IF(AND(AG$4&gt;=$D37,AG$4&lt;=$E37),1,0)</f>
        <v>0</v>
      </c>
      <c r="AH37" s="21">
        <f>IF(AND(AH$4&gt;=$D37,AH$4&lt;=$E37),1,0)</f>
        <v>0</v>
      </c>
      <c r="AI37" s="21">
        <f>IF(AND(AI$4&gt;=$D37,AI$4&lt;=$E37),1,0)</f>
        <v>0</v>
      </c>
      <c r="AJ37" s="21">
        <f>IF(AND(AJ$4&gt;=$D37,AJ$4&lt;=$E37),1,0)</f>
        <v>0</v>
      </c>
      <c r="AK37" s="21">
        <f>IF(AND(AK$4&gt;=$D37,AK$4&lt;=$E37),1,0)</f>
        <v>0</v>
      </c>
      <c r="AL37" s="21">
        <f>IF(AND(AL$4&gt;=$D37,AL$4&lt;=$E37),1,0)</f>
        <v>0</v>
      </c>
      <c r="AM37" s="21">
        <f>IF(AND(AM$4&gt;=$D37,AM$4&lt;=$E37),1,0)</f>
        <v>0</v>
      </c>
      <c r="AN37" s="21">
        <f>IF(AND(AN$4&gt;=$D37,AN$4&lt;=$E37),1,0)</f>
        <v>0</v>
      </c>
      <c r="AO37" s="21">
        <f>IF(AND(AO$4&gt;=$D37,AO$4&lt;=$E37),1,0)</f>
        <v>0</v>
      </c>
    </row>
    <row r="38" ht="30" customHeight="1">
      <c r="A38" s="12" t="inlineStr">
        <is>
          <t>T09-CL</t>
        </is>
      </c>
      <c r="B38" s="12" t="inlineStr">
        <is>
          <t>UI luyện Cổ và lịch sử kết quả</t>
        </is>
      </c>
      <c r="C38" s="12" t="inlineStr">
        <is>
          <t>CL</t>
        </is>
      </c>
      <c r="D38" s="12">
        <f>'13_WBS'!G38</f>
        <v>17</v>
      </c>
      <c r="E38" s="12">
        <f>'13_WBS'!H38</f>
        <v>18</v>
      </c>
      <c r="F38" s="22">
        <f>IF(AND(F$4&gt;=$D38,F$4&lt;=$E38),1,0)</f>
        <v>0</v>
      </c>
      <c r="G38" s="22">
        <f>IF(AND(G$4&gt;=$D38,G$4&lt;=$E38),1,0)</f>
        <v>0</v>
      </c>
      <c r="H38" s="22">
        <f>IF(AND(H$4&gt;=$D38,H$4&lt;=$E38),1,0)</f>
        <v>0</v>
      </c>
      <c r="I38" s="22">
        <f>IF(AND(I$4&gt;=$D38,I$4&lt;=$E38),1,0)</f>
        <v>0</v>
      </c>
      <c r="J38" s="22">
        <f>IF(AND(J$4&gt;=$D38,J$4&lt;=$E38),1,0)</f>
        <v>0</v>
      </c>
      <c r="K38" s="22">
        <f>IF(AND(K$4&gt;=$D38,K$4&lt;=$E38),1,0)</f>
        <v>0</v>
      </c>
      <c r="L38" s="22">
        <f>IF(AND(L$4&gt;=$D38,L$4&lt;=$E38),1,0)</f>
        <v>0</v>
      </c>
      <c r="M38" s="22">
        <f>IF(AND(M$4&gt;=$D38,M$4&lt;=$E38),1,0)</f>
        <v>0</v>
      </c>
      <c r="N38" s="22">
        <f>IF(AND(N$4&gt;=$D38,N$4&lt;=$E38),1,0)</f>
        <v>0</v>
      </c>
      <c r="O38" s="22">
        <f>IF(AND(O$4&gt;=$D38,O$4&lt;=$E38),1,0)</f>
        <v>0</v>
      </c>
      <c r="P38" s="22">
        <f>IF(AND(P$4&gt;=$D38,P$4&lt;=$E38),1,0)</f>
        <v>0</v>
      </c>
      <c r="Q38" s="22">
        <f>IF(AND(Q$4&gt;=$D38,Q$4&lt;=$E38),1,0)</f>
        <v>0</v>
      </c>
      <c r="R38" s="22">
        <f>IF(AND(R$4&gt;=$D38,R$4&lt;=$E38),1,0)</f>
        <v>0</v>
      </c>
      <c r="S38" s="22">
        <f>IF(AND(S$4&gt;=$D38,S$4&lt;=$E38),1,0)</f>
        <v>0</v>
      </c>
      <c r="T38" s="22">
        <f>IF(AND(T$4&gt;=$D38,T$4&lt;=$E38),1,0)</f>
        <v>0</v>
      </c>
      <c r="U38" s="22">
        <f>IF(AND(U$4&gt;=$D38,U$4&lt;=$E38),1,0)</f>
        <v>0</v>
      </c>
      <c r="V38" s="22">
        <f>IF(AND(V$4&gt;=$D38,V$4&lt;=$E38),1,0)</f>
        <v>1</v>
      </c>
      <c r="W38" s="22">
        <f>IF(AND(W$4&gt;=$D38,W$4&lt;=$E38),1,0)</f>
        <v>1</v>
      </c>
      <c r="X38" s="22">
        <f>IF(AND(X$4&gt;=$D38,X$4&lt;=$E38),1,0)</f>
        <v>0</v>
      </c>
      <c r="Y38" s="22">
        <f>IF(AND(Y$4&gt;=$D38,Y$4&lt;=$E38),1,0)</f>
        <v>0</v>
      </c>
      <c r="Z38" s="22">
        <f>IF(AND(Z$4&gt;=$D38,Z$4&lt;=$E38),1,0)</f>
        <v>0</v>
      </c>
      <c r="AA38" s="22">
        <f>IF(AND(AA$4&gt;=$D38,AA$4&lt;=$E38),1,0)</f>
        <v>0</v>
      </c>
      <c r="AB38" s="22">
        <f>IF(AND(AB$4&gt;=$D38,AB$4&lt;=$E38),1,0)</f>
        <v>0</v>
      </c>
      <c r="AC38" s="22">
        <f>IF(AND(AC$4&gt;=$D38,AC$4&lt;=$E38),1,0)</f>
        <v>0</v>
      </c>
      <c r="AD38" s="22">
        <f>IF(AND(AD$4&gt;=$D38,AD$4&lt;=$E38),1,0)</f>
        <v>0</v>
      </c>
      <c r="AE38" s="22">
        <f>IF(AND(AE$4&gt;=$D38,AE$4&lt;=$E38),1,0)</f>
        <v>0</v>
      </c>
      <c r="AF38" s="22">
        <f>IF(AND(AF$4&gt;=$D38,AF$4&lt;=$E38),1,0)</f>
        <v>0</v>
      </c>
      <c r="AG38" s="22">
        <f>IF(AND(AG$4&gt;=$D38,AG$4&lt;=$E38),1,0)</f>
        <v>0</v>
      </c>
      <c r="AH38" s="22">
        <f>IF(AND(AH$4&gt;=$D38,AH$4&lt;=$E38),1,0)</f>
        <v>0</v>
      </c>
      <c r="AI38" s="22">
        <f>IF(AND(AI$4&gt;=$D38,AI$4&lt;=$E38),1,0)</f>
        <v>0</v>
      </c>
      <c r="AJ38" s="22">
        <f>IF(AND(AJ$4&gt;=$D38,AJ$4&lt;=$E38),1,0)</f>
        <v>0</v>
      </c>
      <c r="AK38" s="22">
        <f>IF(AND(AK$4&gt;=$D38,AK$4&lt;=$E38),1,0)</f>
        <v>0</v>
      </c>
      <c r="AL38" s="22">
        <f>IF(AND(AL$4&gt;=$D38,AL$4&lt;=$E38),1,0)</f>
        <v>0</v>
      </c>
      <c r="AM38" s="22">
        <f>IF(AND(AM$4&gt;=$D38,AM$4&lt;=$E38),1,0)</f>
        <v>0</v>
      </c>
      <c r="AN38" s="22">
        <f>IF(AND(AN$4&gt;=$D38,AN$4&lt;=$E38),1,0)</f>
        <v>0</v>
      </c>
      <c r="AO38" s="22">
        <f>IF(AND(AO$4&gt;=$D38,AO$4&lt;=$E38),1,0)</f>
        <v>0</v>
      </c>
    </row>
    <row r="39" ht="30" customHeight="1">
      <c r="A39" s="11" t="inlineStr">
        <is>
          <t>T09-SV</t>
        </is>
      </c>
      <c r="B39" s="11" t="inlineStr">
        <is>
          <t>Luyện Cổ transaction và idempotency</t>
        </is>
      </c>
      <c r="C39" s="11" t="inlineStr">
        <is>
          <t>SV</t>
        </is>
      </c>
      <c r="D39" s="11">
        <f>'13_WBS'!G39</f>
        <v>17</v>
      </c>
      <c r="E39" s="11">
        <f>'13_WBS'!H39</f>
        <v>18</v>
      </c>
      <c r="F39" s="21">
        <f>IF(AND(F$4&gt;=$D39,F$4&lt;=$E39),1,0)</f>
        <v>0</v>
      </c>
      <c r="G39" s="21">
        <f>IF(AND(G$4&gt;=$D39,G$4&lt;=$E39),1,0)</f>
        <v>0</v>
      </c>
      <c r="H39" s="21">
        <f>IF(AND(H$4&gt;=$D39,H$4&lt;=$E39),1,0)</f>
        <v>0</v>
      </c>
      <c r="I39" s="21">
        <f>IF(AND(I$4&gt;=$D39,I$4&lt;=$E39),1,0)</f>
        <v>0</v>
      </c>
      <c r="J39" s="21">
        <f>IF(AND(J$4&gt;=$D39,J$4&lt;=$E39),1,0)</f>
        <v>0</v>
      </c>
      <c r="K39" s="21">
        <f>IF(AND(K$4&gt;=$D39,K$4&lt;=$E39),1,0)</f>
        <v>0</v>
      </c>
      <c r="L39" s="21">
        <f>IF(AND(L$4&gt;=$D39,L$4&lt;=$E39),1,0)</f>
        <v>0</v>
      </c>
      <c r="M39" s="21">
        <f>IF(AND(M$4&gt;=$D39,M$4&lt;=$E39),1,0)</f>
        <v>0</v>
      </c>
      <c r="N39" s="21">
        <f>IF(AND(N$4&gt;=$D39,N$4&lt;=$E39),1,0)</f>
        <v>0</v>
      </c>
      <c r="O39" s="21">
        <f>IF(AND(O$4&gt;=$D39,O$4&lt;=$E39),1,0)</f>
        <v>0</v>
      </c>
      <c r="P39" s="21">
        <f>IF(AND(P$4&gt;=$D39,P$4&lt;=$E39),1,0)</f>
        <v>0</v>
      </c>
      <c r="Q39" s="21">
        <f>IF(AND(Q$4&gt;=$D39,Q$4&lt;=$E39),1,0)</f>
        <v>0</v>
      </c>
      <c r="R39" s="21">
        <f>IF(AND(R$4&gt;=$D39,R$4&lt;=$E39),1,0)</f>
        <v>0</v>
      </c>
      <c r="S39" s="21">
        <f>IF(AND(S$4&gt;=$D39,S$4&lt;=$E39),1,0)</f>
        <v>0</v>
      </c>
      <c r="T39" s="21">
        <f>IF(AND(T$4&gt;=$D39,T$4&lt;=$E39),1,0)</f>
        <v>0</v>
      </c>
      <c r="U39" s="21">
        <f>IF(AND(U$4&gt;=$D39,U$4&lt;=$E39),1,0)</f>
        <v>0</v>
      </c>
      <c r="V39" s="21">
        <f>IF(AND(V$4&gt;=$D39,V$4&lt;=$E39),1,0)</f>
        <v>1</v>
      </c>
      <c r="W39" s="21">
        <f>IF(AND(W$4&gt;=$D39,W$4&lt;=$E39),1,0)</f>
        <v>1</v>
      </c>
      <c r="X39" s="21">
        <f>IF(AND(X$4&gt;=$D39,X$4&lt;=$E39),1,0)</f>
        <v>0</v>
      </c>
      <c r="Y39" s="21">
        <f>IF(AND(Y$4&gt;=$D39,Y$4&lt;=$E39),1,0)</f>
        <v>0</v>
      </c>
      <c r="Z39" s="21">
        <f>IF(AND(Z$4&gt;=$D39,Z$4&lt;=$E39),1,0)</f>
        <v>0</v>
      </c>
      <c r="AA39" s="21">
        <f>IF(AND(AA$4&gt;=$D39,AA$4&lt;=$E39),1,0)</f>
        <v>0</v>
      </c>
      <c r="AB39" s="21">
        <f>IF(AND(AB$4&gt;=$D39,AB$4&lt;=$E39),1,0)</f>
        <v>0</v>
      </c>
      <c r="AC39" s="21">
        <f>IF(AND(AC$4&gt;=$D39,AC$4&lt;=$E39),1,0)</f>
        <v>0</v>
      </c>
      <c r="AD39" s="21">
        <f>IF(AND(AD$4&gt;=$D39,AD$4&lt;=$E39),1,0)</f>
        <v>0</v>
      </c>
      <c r="AE39" s="21">
        <f>IF(AND(AE$4&gt;=$D39,AE$4&lt;=$E39),1,0)</f>
        <v>0</v>
      </c>
      <c r="AF39" s="21">
        <f>IF(AND(AF$4&gt;=$D39,AF$4&lt;=$E39),1,0)</f>
        <v>0</v>
      </c>
      <c r="AG39" s="21">
        <f>IF(AND(AG$4&gt;=$D39,AG$4&lt;=$E39),1,0)</f>
        <v>0</v>
      </c>
      <c r="AH39" s="21">
        <f>IF(AND(AH$4&gt;=$D39,AH$4&lt;=$E39),1,0)</f>
        <v>0</v>
      </c>
      <c r="AI39" s="21">
        <f>IF(AND(AI$4&gt;=$D39,AI$4&lt;=$E39),1,0)</f>
        <v>0</v>
      </c>
      <c r="AJ39" s="21">
        <f>IF(AND(AJ$4&gt;=$D39,AJ$4&lt;=$E39),1,0)</f>
        <v>0</v>
      </c>
      <c r="AK39" s="21">
        <f>IF(AND(AK$4&gt;=$D39,AK$4&lt;=$E39),1,0)</f>
        <v>0</v>
      </c>
      <c r="AL39" s="21">
        <f>IF(AND(AL$4&gt;=$D39,AL$4&lt;=$E39),1,0)</f>
        <v>0</v>
      </c>
      <c r="AM39" s="21">
        <f>IF(AND(AM$4&gt;=$D39,AM$4&lt;=$E39),1,0)</f>
        <v>0</v>
      </c>
      <c r="AN39" s="21">
        <f>IF(AND(AN$4&gt;=$D39,AN$4&lt;=$E39),1,0)</f>
        <v>0</v>
      </c>
      <c r="AO39" s="21">
        <f>IF(AND(AO$4&gt;=$D39,AO$4&lt;=$E39),1,0)</f>
        <v>0</v>
      </c>
    </row>
    <row r="40" ht="30" customHeight="1">
      <c r="A40" s="12" t="inlineStr">
        <is>
          <t>T09-AR</t>
        </is>
      </c>
      <c r="B40" s="12" t="inlineStr">
        <is>
          <t>UI luyện Cổ và thông báo kết quả</t>
        </is>
      </c>
      <c r="C40" s="12" t="inlineStr">
        <is>
          <t>AR</t>
        </is>
      </c>
      <c r="D40" s="12">
        <f>'13_WBS'!G40</f>
        <v>17</v>
      </c>
      <c r="E40" s="12">
        <f>'13_WBS'!H40</f>
        <v>18</v>
      </c>
      <c r="F40" s="22">
        <f>IF(AND(F$4&gt;=$D40,F$4&lt;=$E40),1,0)</f>
        <v>0</v>
      </c>
      <c r="G40" s="22">
        <f>IF(AND(G$4&gt;=$D40,G$4&lt;=$E40),1,0)</f>
        <v>0</v>
      </c>
      <c r="H40" s="22">
        <f>IF(AND(H$4&gt;=$D40,H$4&lt;=$E40),1,0)</f>
        <v>0</v>
      </c>
      <c r="I40" s="22">
        <f>IF(AND(I$4&gt;=$D40,I$4&lt;=$E40),1,0)</f>
        <v>0</v>
      </c>
      <c r="J40" s="22">
        <f>IF(AND(J$4&gt;=$D40,J$4&lt;=$E40),1,0)</f>
        <v>0</v>
      </c>
      <c r="K40" s="22">
        <f>IF(AND(K$4&gt;=$D40,K$4&lt;=$E40),1,0)</f>
        <v>0</v>
      </c>
      <c r="L40" s="22">
        <f>IF(AND(L$4&gt;=$D40,L$4&lt;=$E40),1,0)</f>
        <v>0</v>
      </c>
      <c r="M40" s="22">
        <f>IF(AND(M$4&gt;=$D40,M$4&lt;=$E40),1,0)</f>
        <v>0</v>
      </c>
      <c r="N40" s="22">
        <f>IF(AND(N$4&gt;=$D40,N$4&lt;=$E40),1,0)</f>
        <v>0</v>
      </c>
      <c r="O40" s="22">
        <f>IF(AND(O$4&gt;=$D40,O$4&lt;=$E40),1,0)</f>
        <v>0</v>
      </c>
      <c r="P40" s="22">
        <f>IF(AND(P$4&gt;=$D40,P$4&lt;=$E40),1,0)</f>
        <v>0</v>
      </c>
      <c r="Q40" s="22">
        <f>IF(AND(Q$4&gt;=$D40,Q$4&lt;=$E40),1,0)</f>
        <v>0</v>
      </c>
      <c r="R40" s="22">
        <f>IF(AND(R$4&gt;=$D40,R$4&lt;=$E40),1,0)</f>
        <v>0</v>
      </c>
      <c r="S40" s="22">
        <f>IF(AND(S$4&gt;=$D40,S$4&lt;=$E40),1,0)</f>
        <v>0</v>
      </c>
      <c r="T40" s="22">
        <f>IF(AND(T$4&gt;=$D40,T$4&lt;=$E40),1,0)</f>
        <v>0</v>
      </c>
      <c r="U40" s="22">
        <f>IF(AND(U$4&gt;=$D40,U$4&lt;=$E40),1,0)</f>
        <v>0</v>
      </c>
      <c r="V40" s="22">
        <f>IF(AND(V$4&gt;=$D40,V$4&lt;=$E40),1,0)</f>
        <v>1</v>
      </c>
      <c r="W40" s="22">
        <f>IF(AND(W$4&gt;=$D40,W$4&lt;=$E40),1,0)</f>
        <v>1</v>
      </c>
      <c r="X40" s="22">
        <f>IF(AND(X$4&gt;=$D40,X$4&lt;=$E40),1,0)</f>
        <v>0</v>
      </c>
      <c r="Y40" s="22">
        <f>IF(AND(Y$4&gt;=$D40,Y$4&lt;=$E40),1,0)</f>
        <v>0</v>
      </c>
      <c r="Z40" s="22">
        <f>IF(AND(Z$4&gt;=$D40,Z$4&lt;=$E40),1,0)</f>
        <v>0</v>
      </c>
      <c r="AA40" s="22">
        <f>IF(AND(AA$4&gt;=$D40,AA$4&lt;=$E40),1,0)</f>
        <v>0</v>
      </c>
      <c r="AB40" s="22">
        <f>IF(AND(AB$4&gt;=$D40,AB$4&lt;=$E40),1,0)</f>
        <v>0</v>
      </c>
      <c r="AC40" s="22">
        <f>IF(AND(AC$4&gt;=$D40,AC$4&lt;=$E40),1,0)</f>
        <v>0</v>
      </c>
      <c r="AD40" s="22">
        <f>IF(AND(AD$4&gt;=$D40,AD$4&lt;=$E40),1,0)</f>
        <v>0</v>
      </c>
      <c r="AE40" s="22">
        <f>IF(AND(AE$4&gt;=$D40,AE$4&lt;=$E40),1,0)</f>
        <v>0</v>
      </c>
      <c r="AF40" s="22">
        <f>IF(AND(AF$4&gt;=$D40,AF$4&lt;=$E40),1,0)</f>
        <v>0</v>
      </c>
      <c r="AG40" s="22">
        <f>IF(AND(AG$4&gt;=$D40,AG$4&lt;=$E40),1,0)</f>
        <v>0</v>
      </c>
      <c r="AH40" s="22">
        <f>IF(AND(AH$4&gt;=$D40,AH$4&lt;=$E40),1,0)</f>
        <v>0</v>
      </c>
      <c r="AI40" s="22">
        <f>IF(AND(AI$4&gt;=$D40,AI$4&lt;=$E40),1,0)</f>
        <v>0</v>
      </c>
      <c r="AJ40" s="22">
        <f>IF(AND(AJ$4&gt;=$D40,AJ$4&lt;=$E40),1,0)</f>
        <v>0</v>
      </c>
      <c r="AK40" s="22">
        <f>IF(AND(AK$4&gt;=$D40,AK$4&lt;=$E40),1,0)</f>
        <v>0</v>
      </c>
      <c r="AL40" s="22">
        <f>IF(AND(AL$4&gt;=$D40,AL$4&lt;=$E40),1,0)</f>
        <v>0</v>
      </c>
      <c r="AM40" s="22">
        <f>IF(AND(AM$4&gt;=$D40,AM$4&lt;=$E40),1,0)</f>
        <v>0</v>
      </c>
      <c r="AN40" s="22">
        <f>IF(AND(AN$4&gt;=$D40,AN$4&lt;=$E40),1,0)</f>
        <v>0</v>
      </c>
      <c r="AO40" s="22">
        <f>IF(AND(AO$4&gt;=$D40,AO$4&lt;=$E40),1,0)</f>
        <v>0</v>
      </c>
    </row>
    <row r="41" ht="30" customHeight="1">
      <c r="A41" s="11" t="inlineStr">
        <is>
          <t>T10-GD</t>
        </is>
      </c>
      <c r="B41" s="11" t="inlineStr">
        <is>
          <t>Quest, cấp độ và thăng chuyển</t>
        </is>
      </c>
      <c r="C41" s="11" t="inlineStr">
        <is>
          <t>GD</t>
        </is>
      </c>
      <c r="D41" s="11">
        <f>'13_WBS'!G41</f>
        <v>19</v>
      </c>
      <c r="E41" s="11">
        <f>'13_WBS'!H41</f>
        <v>20</v>
      </c>
      <c r="F41" s="21">
        <f>IF(AND(F$4&gt;=$D41,F$4&lt;=$E41),1,0)</f>
        <v>0</v>
      </c>
      <c r="G41" s="21">
        <f>IF(AND(G$4&gt;=$D41,G$4&lt;=$E41),1,0)</f>
        <v>0</v>
      </c>
      <c r="H41" s="21">
        <f>IF(AND(H$4&gt;=$D41,H$4&lt;=$E41),1,0)</f>
        <v>0</v>
      </c>
      <c r="I41" s="21">
        <f>IF(AND(I$4&gt;=$D41,I$4&lt;=$E41),1,0)</f>
        <v>0</v>
      </c>
      <c r="J41" s="21">
        <f>IF(AND(J$4&gt;=$D41,J$4&lt;=$E41),1,0)</f>
        <v>0</v>
      </c>
      <c r="K41" s="21">
        <f>IF(AND(K$4&gt;=$D41,K$4&lt;=$E41),1,0)</f>
        <v>0</v>
      </c>
      <c r="L41" s="21">
        <f>IF(AND(L$4&gt;=$D41,L$4&lt;=$E41),1,0)</f>
        <v>0</v>
      </c>
      <c r="M41" s="21">
        <f>IF(AND(M$4&gt;=$D41,M$4&lt;=$E41),1,0)</f>
        <v>0</v>
      </c>
      <c r="N41" s="21">
        <f>IF(AND(N$4&gt;=$D41,N$4&lt;=$E41),1,0)</f>
        <v>0</v>
      </c>
      <c r="O41" s="21">
        <f>IF(AND(O$4&gt;=$D41,O$4&lt;=$E41),1,0)</f>
        <v>0</v>
      </c>
      <c r="P41" s="21">
        <f>IF(AND(P$4&gt;=$D41,P$4&lt;=$E41),1,0)</f>
        <v>0</v>
      </c>
      <c r="Q41" s="21">
        <f>IF(AND(Q$4&gt;=$D41,Q$4&lt;=$E41),1,0)</f>
        <v>0</v>
      </c>
      <c r="R41" s="21">
        <f>IF(AND(R$4&gt;=$D41,R$4&lt;=$E41),1,0)</f>
        <v>0</v>
      </c>
      <c r="S41" s="21">
        <f>IF(AND(S$4&gt;=$D41,S$4&lt;=$E41),1,0)</f>
        <v>0</v>
      </c>
      <c r="T41" s="21">
        <f>IF(AND(T$4&gt;=$D41,T$4&lt;=$E41),1,0)</f>
        <v>0</v>
      </c>
      <c r="U41" s="21">
        <f>IF(AND(U$4&gt;=$D41,U$4&lt;=$E41),1,0)</f>
        <v>0</v>
      </c>
      <c r="V41" s="21">
        <f>IF(AND(V$4&gt;=$D41,V$4&lt;=$E41),1,0)</f>
        <v>0</v>
      </c>
      <c r="W41" s="21">
        <f>IF(AND(W$4&gt;=$D41,W$4&lt;=$E41),1,0)</f>
        <v>0</v>
      </c>
      <c r="X41" s="21">
        <f>IF(AND(X$4&gt;=$D41,X$4&lt;=$E41),1,0)</f>
        <v>1</v>
      </c>
      <c r="Y41" s="21">
        <f>IF(AND(Y$4&gt;=$D41,Y$4&lt;=$E41),1,0)</f>
        <v>1</v>
      </c>
      <c r="Z41" s="21">
        <f>IF(AND(Z$4&gt;=$D41,Z$4&lt;=$E41),1,0)</f>
        <v>0</v>
      </c>
      <c r="AA41" s="21">
        <f>IF(AND(AA$4&gt;=$D41,AA$4&lt;=$E41),1,0)</f>
        <v>0</v>
      </c>
      <c r="AB41" s="21">
        <f>IF(AND(AB$4&gt;=$D41,AB$4&lt;=$E41),1,0)</f>
        <v>0</v>
      </c>
      <c r="AC41" s="21">
        <f>IF(AND(AC$4&gt;=$D41,AC$4&lt;=$E41),1,0)</f>
        <v>0</v>
      </c>
      <c r="AD41" s="21">
        <f>IF(AND(AD$4&gt;=$D41,AD$4&lt;=$E41),1,0)</f>
        <v>0</v>
      </c>
      <c r="AE41" s="21">
        <f>IF(AND(AE$4&gt;=$D41,AE$4&lt;=$E41),1,0)</f>
        <v>0</v>
      </c>
      <c r="AF41" s="21">
        <f>IF(AND(AF$4&gt;=$D41,AF$4&lt;=$E41),1,0)</f>
        <v>0</v>
      </c>
      <c r="AG41" s="21">
        <f>IF(AND(AG$4&gt;=$D41,AG$4&lt;=$E41),1,0)</f>
        <v>0</v>
      </c>
      <c r="AH41" s="21">
        <f>IF(AND(AH$4&gt;=$D41,AH$4&lt;=$E41),1,0)</f>
        <v>0</v>
      </c>
      <c r="AI41" s="21">
        <f>IF(AND(AI$4&gt;=$D41,AI$4&lt;=$E41),1,0)</f>
        <v>0</v>
      </c>
      <c r="AJ41" s="21">
        <f>IF(AND(AJ$4&gt;=$D41,AJ$4&lt;=$E41),1,0)</f>
        <v>0</v>
      </c>
      <c r="AK41" s="21">
        <f>IF(AND(AK$4&gt;=$D41,AK$4&lt;=$E41),1,0)</f>
        <v>0</v>
      </c>
      <c r="AL41" s="21">
        <f>IF(AND(AL$4&gt;=$D41,AL$4&lt;=$E41),1,0)</f>
        <v>0</v>
      </c>
      <c r="AM41" s="21">
        <f>IF(AND(AM$4&gt;=$D41,AM$4&lt;=$E41),1,0)</f>
        <v>0</v>
      </c>
      <c r="AN41" s="21">
        <f>IF(AND(AN$4&gt;=$D41,AN$4&lt;=$E41),1,0)</f>
        <v>0</v>
      </c>
      <c r="AO41" s="21">
        <f>IF(AND(AO$4&gt;=$D41,AO$4&lt;=$E41),1,0)</f>
        <v>0</v>
      </c>
    </row>
    <row r="42" ht="30" customHeight="1">
      <c r="A42" s="12" t="inlineStr">
        <is>
          <t>T10-CL</t>
        </is>
      </c>
      <c r="B42" s="12" t="inlineStr">
        <is>
          <t>Quest tracker, level up và NPC shop</t>
        </is>
      </c>
      <c r="C42" s="12" t="inlineStr">
        <is>
          <t>CL</t>
        </is>
      </c>
      <c r="D42" s="12">
        <f>'13_WBS'!G42</f>
        <v>19</v>
      </c>
      <c r="E42" s="12">
        <f>'13_WBS'!H42</f>
        <v>20</v>
      </c>
      <c r="F42" s="22">
        <f>IF(AND(F$4&gt;=$D42,F$4&lt;=$E42),1,0)</f>
        <v>0</v>
      </c>
      <c r="G42" s="22">
        <f>IF(AND(G$4&gt;=$D42,G$4&lt;=$E42),1,0)</f>
        <v>0</v>
      </c>
      <c r="H42" s="22">
        <f>IF(AND(H$4&gt;=$D42,H$4&lt;=$E42),1,0)</f>
        <v>0</v>
      </c>
      <c r="I42" s="22">
        <f>IF(AND(I$4&gt;=$D42,I$4&lt;=$E42),1,0)</f>
        <v>0</v>
      </c>
      <c r="J42" s="22">
        <f>IF(AND(J$4&gt;=$D42,J$4&lt;=$E42),1,0)</f>
        <v>0</v>
      </c>
      <c r="K42" s="22">
        <f>IF(AND(K$4&gt;=$D42,K$4&lt;=$E42),1,0)</f>
        <v>0</v>
      </c>
      <c r="L42" s="22">
        <f>IF(AND(L$4&gt;=$D42,L$4&lt;=$E42),1,0)</f>
        <v>0</v>
      </c>
      <c r="M42" s="22">
        <f>IF(AND(M$4&gt;=$D42,M$4&lt;=$E42),1,0)</f>
        <v>0</v>
      </c>
      <c r="N42" s="22">
        <f>IF(AND(N$4&gt;=$D42,N$4&lt;=$E42),1,0)</f>
        <v>0</v>
      </c>
      <c r="O42" s="22">
        <f>IF(AND(O$4&gt;=$D42,O$4&lt;=$E42),1,0)</f>
        <v>0</v>
      </c>
      <c r="P42" s="22">
        <f>IF(AND(P$4&gt;=$D42,P$4&lt;=$E42),1,0)</f>
        <v>0</v>
      </c>
      <c r="Q42" s="22">
        <f>IF(AND(Q$4&gt;=$D42,Q$4&lt;=$E42),1,0)</f>
        <v>0</v>
      </c>
      <c r="R42" s="22">
        <f>IF(AND(R$4&gt;=$D42,R$4&lt;=$E42),1,0)</f>
        <v>0</v>
      </c>
      <c r="S42" s="22">
        <f>IF(AND(S$4&gt;=$D42,S$4&lt;=$E42),1,0)</f>
        <v>0</v>
      </c>
      <c r="T42" s="22">
        <f>IF(AND(T$4&gt;=$D42,T$4&lt;=$E42),1,0)</f>
        <v>0</v>
      </c>
      <c r="U42" s="22">
        <f>IF(AND(U$4&gt;=$D42,U$4&lt;=$E42),1,0)</f>
        <v>0</v>
      </c>
      <c r="V42" s="22">
        <f>IF(AND(V$4&gt;=$D42,V$4&lt;=$E42),1,0)</f>
        <v>0</v>
      </c>
      <c r="W42" s="22">
        <f>IF(AND(W$4&gt;=$D42,W$4&lt;=$E42),1,0)</f>
        <v>0</v>
      </c>
      <c r="X42" s="22">
        <f>IF(AND(X$4&gt;=$D42,X$4&lt;=$E42),1,0)</f>
        <v>1</v>
      </c>
      <c r="Y42" s="22">
        <f>IF(AND(Y$4&gt;=$D42,Y$4&lt;=$E42),1,0)</f>
        <v>1</v>
      </c>
      <c r="Z42" s="22">
        <f>IF(AND(Z$4&gt;=$D42,Z$4&lt;=$E42),1,0)</f>
        <v>0</v>
      </c>
      <c r="AA42" s="22">
        <f>IF(AND(AA$4&gt;=$D42,AA$4&lt;=$E42),1,0)</f>
        <v>0</v>
      </c>
      <c r="AB42" s="22">
        <f>IF(AND(AB$4&gt;=$D42,AB$4&lt;=$E42),1,0)</f>
        <v>0</v>
      </c>
      <c r="AC42" s="22">
        <f>IF(AND(AC$4&gt;=$D42,AC$4&lt;=$E42),1,0)</f>
        <v>0</v>
      </c>
      <c r="AD42" s="22">
        <f>IF(AND(AD$4&gt;=$D42,AD$4&lt;=$E42),1,0)</f>
        <v>0</v>
      </c>
      <c r="AE42" s="22">
        <f>IF(AND(AE$4&gt;=$D42,AE$4&lt;=$E42),1,0)</f>
        <v>0</v>
      </c>
      <c r="AF42" s="22">
        <f>IF(AND(AF$4&gt;=$D42,AF$4&lt;=$E42),1,0)</f>
        <v>0</v>
      </c>
      <c r="AG42" s="22">
        <f>IF(AND(AG$4&gt;=$D42,AG$4&lt;=$E42),1,0)</f>
        <v>0</v>
      </c>
      <c r="AH42" s="22">
        <f>IF(AND(AH$4&gt;=$D42,AH$4&lt;=$E42),1,0)</f>
        <v>0</v>
      </c>
      <c r="AI42" s="22">
        <f>IF(AND(AI$4&gt;=$D42,AI$4&lt;=$E42),1,0)</f>
        <v>0</v>
      </c>
      <c r="AJ42" s="22">
        <f>IF(AND(AJ$4&gt;=$D42,AJ$4&lt;=$E42),1,0)</f>
        <v>0</v>
      </c>
      <c r="AK42" s="22">
        <f>IF(AND(AK$4&gt;=$D42,AK$4&lt;=$E42),1,0)</f>
        <v>0</v>
      </c>
      <c r="AL42" s="22">
        <f>IF(AND(AL$4&gt;=$D42,AL$4&lt;=$E42),1,0)</f>
        <v>0</v>
      </c>
      <c r="AM42" s="22">
        <f>IF(AND(AM$4&gt;=$D42,AM$4&lt;=$E42),1,0)</f>
        <v>0</v>
      </c>
      <c r="AN42" s="22">
        <f>IF(AND(AN$4&gt;=$D42,AN$4&lt;=$E42),1,0)</f>
        <v>0</v>
      </c>
      <c r="AO42" s="22">
        <f>IF(AND(AO$4&gt;=$D42,AO$4&lt;=$E42),1,0)</f>
        <v>0</v>
      </c>
    </row>
    <row r="43" ht="30" customHeight="1">
      <c r="A43" s="11" t="inlineStr">
        <is>
          <t>T10-SV</t>
        </is>
      </c>
      <c r="B43" s="11" t="inlineStr">
        <is>
          <t>Quest/progression/NPC economy</t>
        </is>
      </c>
      <c r="C43" s="11" t="inlineStr">
        <is>
          <t>SV</t>
        </is>
      </c>
      <c r="D43" s="11">
        <f>'13_WBS'!G43</f>
        <v>19</v>
      </c>
      <c r="E43" s="11">
        <f>'13_WBS'!H43</f>
        <v>20</v>
      </c>
      <c r="F43" s="21">
        <f>IF(AND(F$4&gt;=$D43,F$4&lt;=$E43),1,0)</f>
        <v>0</v>
      </c>
      <c r="G43" s="21">
        <f>IF(AND(G$4&gt;=$D43,G$4&lt;=$E43),1,0)</f>
        <v>0</v>
      </c>
      <c r="H43" s="21">
        <f>IF(AND(H$4&gt;=$D43,H$4&lt;=$E43),1,0)</f>
        <v>0</v>
      </c>
      <c r="I43" s="21">
        <f>IF(AND(I$4&gt;=$D43,I$4&lt;=$E43),1,0)</f>
        <v>0</v>
      </c>
      <c r="J43" s="21">
        <f>IF(AND(J$4&gt;=$D43,J$4&lt;=$E43),1,0)</f>
        <v>0</v>
      </c>
      <c r="K43" s="21">
        <f>IF(AND(K$4&gt;=$D43,K$4&lt;=$E43),1,0)</f>
        <v>0</v>
      </c>
      <c r="L43" s="21">
        <f>IF(AND(L$4&gt;=$D43,L$4&lt;=$E43),1,0)</f>
        <v>0</v>
      </c>
      <c r="M43" s="21">
        <f>IF(AND(M$4&gt;=$D43,M$4&lt;=$E43),1,0)</f>
        <v>0</v>
      </c>
      <c r="N43" s="21">
        <f>IF(AND(N$4&gt;=$D43,N$4&lt;=$E43),1,0)</f>
        <v>0</v>
      </c>
      <c r="O43" s="21">
        <f>IF(AND(O$4&gt;=$D43,O$4&lt;=$E43),1,0)</f>
        <v>0</v>
      </c>
      <c r="P43" s="21">
        <f>IF(AND(P$4&gt;=$D43,P$4&lt;=$E43),1,0)</f>
        <v>0</v>
      </c>
      <c r="Q43" s="21">
        <f>IF(AND(Q$4&gt;=$D43,Q$4&lt;=$E43),1,0)</f>
        <v>0</v>
      </c>
      <c r="R43" s="21">
        <f>IF(AND(R$4&gt;=$D43,R$4&lt;=$E43),1,0)</f>
        <v>0</v>
      </c>
      <c r="S43" s="21">
        <f>IF(AND(S$4&gt;=$D43,S$4&lt;=$E43),1,0)</f>
        <v>0</v>
      </c>
      <c r="T43" s="21">
        <f>IF(AND(T$4&gt;=$D43,T$4&lt;=$E43),1,0)</f>
        <v>0</v>
      </c>
      <c r="U43" s="21">
        <f>IF(AND(U$4&gt;=$D43,U$4&lt;=$E43),1,0)</f>
        <v>0</v>
      </c>
      <c r="V43" s="21">
        <f>IF(AND(V$4&gt;=$D43,V$4&lt;=$E43),1,0)</f>
        <v>0</v>
      </c>
      <c r="W43" s="21">
        <f>IF(AND(W$4&gt;=$D43,W$4&lt;=$E43),1,0)</f>
        <v>0</v>
      </c>
      <c r="X43" s="21">
        <f>IF(AND(X$4&gt;=$D43,X$4&lt;=$E43),1,0)</f>
        <v>1</v>
      </c>
      <c r="Y43" s="21">
        <f>IF(AND(Y$4&gt;=$D43,Y$4&lt;=$E43),1,0)</f>
        <v>1</v>
      </c>
      <c r="Z43" s="21">
        <f>IF(AND(Z$4&gt;=$D43,Z$4&lt;=$E43),1,0)</f>
        <v>0</v>
      </c>
      <c r="AA43" s="21">
        <f>IF(AND(AA$4&gt;=$D43,AA$4&lt;=$E43),1,0)</f>
        <v>0</v>
      </c>
      <c r="AB43" s="21">
        <f>IF(AND(AB$4&gt;=$D43,AB$4&lt;=$E43),1,0)</f>
        <v>0</v>
      </c>
      <c r="AC43" s="21">
        <f>IF(AND(AC$4&gt;=$D43,AC$4&lt;=$E43),1,0)</f>
        <v>0</v>
      </c>
      <c r="AD43" s="21">
        <f>IF(AND(AD$4&gt;=$D43,AD$4&lt;=$E43),1,0)</f>
        <v>0</v>
      </c>
      <c r="AE43" s="21">
        <f>IF(AND(AE$4&gt;=$D43,AE$4&lt;=$E43),1,0)</f>
        <v>0</v>
      </c>
      <c r="AF43" s="21">
        <f>IF(AND(AF$4&gt;=$D43,AF$4&lt;=$E43),1,0)</f>
        <v>0</v>
      </c>
      <c r="AG43" s="21">
        <f>IF(AND(AG$4&gt;=$D43,AG$4&lt;=$E43),1,0)</f>
        <v>0</v>
      </c>
      <c r="AH43" s="21">
        <f>IF(AND(AH$4&gt;=$D43,AH$4&lt;=$E43),1,0)</f>
        <v>0</v>
      </c>
      <c r="AI43" s="21">
        <f>IF(AND(AI$4&gt;=$D43,AI$4&lt;=$E43),1,0)</f>
        <v>0</v>
      </c>
      <c r="AJ43" s="21">
        <f>IF(AND(AJ$4&gt;=$D43,AJ$4&lt;=$E43),1,0)</f>
        <v>0</v>
      </c>
      <c r="AK43" s="21">
        <f>IF(AND(AK$4&gt;=$D43,AK$4&lt;=$E43),1,0)</f>
        <v>0</v>
      </c>
      <c r="AL43" s="21">
        <f>IF(AND(AL$4&gt;=$D43,AL$4&lt;=$E43),1,0)</f>
        <v>0</v>
      </c>
      <c r="AM43" s="21">
        <f>IF(AND(AM$4&gt;=$D43,AM$4&lt;=$E43),1,0)</f>
        <v>0</v>
      </c>
      <c r="AN43" s="21">
        <f>IF(AND(AN$4&gt;=$D43,AN$4&lt;=$E43),1,0)</f>
        <v>0</v>
      </c>
      <c r="AO43" s="21">
        <f>IF(AND(AO$4&gt;=$D43,AO$4&lt;=$E43),1,0)</f>
        <v>0</v>
      </c>
    </row>
    <row r="44" ht="30" customHeight="1">
      <c r="A44" s="12" t="inlineStr">
        <is>
          <t>T10-AR</t>
        </is>
      </c>
      <c r="B44" s="12" t="inlineStr">
        <is>
          <t>Hoàn thiện map, NPC và props tái sử dụng</t>
        </is>
      </c>
      <c r="C44" s="12" t="inlineStr">
        <is>
          <t>AR</t>
        </is>
      </c>
      <c r="D44" s="12">
        <f>'13_WBS'!G44</f>
        <v>19</v>
      </c>
      <c r="E44" s="12">
        <f>'13_WBS'!H44</f>
        <v>20</v>
      </c>
      <c r="F44" s="22">
        <f>IF(AND(F$4&gt;=$D44,F$4&lt;=$E44),1,0)</f>
        <v>0</v>
      </c>
      <c r="G44" s="22">
        <f>IF(AND(G$4&gt;=$D44,G$4&lt;=$E44),1,0)</f>
        <v>0</v>
      </c>
      <c r="H44" s="22">
        <f>IF(AND(H$4&gt;=$D44,H$4&lt;=$E44),1,0)</f>
        <v>0</v>
      </c>
      <c r="I44" s="22">
        <f>IF(AND(I$4&gt;=$D44,I$4&lt;=$E44),1,0)</f>
        <v>0</v>
      </c>
      <c r="J44" s="22">
        <f>IF(AND(J$4&gt;=$D44,J$4&lt;=$E44),1,0)</f>
        <v>0</v>
      </c>
      <c r="K44" s="22">
        <f>IF(AND(K$4&gt;=$D44,K$4&lt;=$E44),1,0)</f>
        <v>0</v>
      </c>
      <c r="L44" s="22">
        <f>IF(AND(L$4&gt;=$D44,L$4&lt;=$E44),1,0)</f>
        <v>0</v>
      </c>
      <c r="M44" s="22">
        <f>IF(AND(M$4&gt;=$D44,M$4&lt;=$E44),1,0)</f>
        <v>0</v>
      </c>
      <c r="N44" s="22">
        <f>IF(AND(N$4&gt;=$D44,N$4&lt;=$E44),1,0)</f>
        <v>0</v>
      </c>
      <c r="O44" s="22">
        <f>IF(AND(O$4&gt;=$D44,O$4&lt;=$E44),1,0)</f>
        <v>0</v>
      </c>
      <c r="P44" s="22">
        <f>IF(AND(P$4&gt;=$D44,P$4&lt;=$E44),1,0)</f>
        <v>0</v>
      </c>
      <c r="Q44" s="22">
        <f>IF(AND(Q$4&gt;=$D44,Q$4&lt;=$E44),1,0)</f>
        <v>0</v>
      </c>
      <c r="R44" s="22">
        <f>IF(AND(R$4&gt;=$D44,R$4&lt;=$E44),1,0)</f>
        <v>0</v>
      </c>
      <c r="S44" s="22">
        <f>IF(AND(S$4&gt;=$D44,S$4&lt;=$E44),1,0)</f>
        <v>0</v>
      </c>
      <c r="T44" s="22">
        <f>IF(AND(T$4&gt;=$D44,T$4&lt;=$E44),1,0)</f>
        <v>0</v>
      </c>
      <c r="U44" s="22">
        <f>IF(AND(U$4&gt;=$D44,U$4&lt;=$E44),1,0)</f>
        <v>0</v>
      </c>
      <c r="V44" s="22">
        <f>IF(AND(V$4&gt;=$D44,V$4&lt;=$E44),1,0)</f>
        <v>0</v>
      </c>
      <c r="W44" s="22">
        <f>IF(AND(W$4&gt;=$D44,W$4&lt;=$E44),1,0)</f>
        <v>0</v>
      </c>
      <c r="X44" s="22">
        <f>IF(AND(X$4&gt;=$D44,X$4&lt;=$E44),1,0)</f>
        <v>1</v>
      </c>
      <c r="Y44" s="22">
        <f>IF(AND(Y$4&gt;=$D44,Y$4&lt;=$E44),1,0)</f>
        <v>1</v>
      </c>
      <c r="Z44" s="22">
        <f>IF(AND(Z$4&gt;=$D44,Z$4&lt;=$E44),1,0)</f>
        <v>0</v>
      </c>
      <c r="AA44" s="22">
        <f>IF(AND(AA$4&gt;=$D44,AA$4&lt;=$E44),1,0)</f>
        <v>0</v>
      </c>
      <c r="AB44" s="22">
        <f>IF(AND(AB$4&gt;=$D44,AB$4&lt;=$E44),1,0)</f>
        <v>0</v>
      </c>
      <c r="AC44" s="22">
        <f>IF(AND(AC$4&gt;=$D44,AC$4&lt;=$E44),1,0)</f>
        <v>0</v>
      </c>
      <c r="AD44" s="22">
        <f>IF(AND(AD$4&gt;=$D44,AD$4&lt;=$E44),1,0)</f>
        <v>0</v>
      </c>
      <c r="AE44" s="22">
        <f>IF(AND(AE$4&gt;=$D44,AE$4&lt;=$E44),1,0)</f>
        <v>0</v>
      </c>
      <c r="AF44" s="22">
        <f>IF(AND(AF$4&gt;=$D44,AF$4&lt;=$E44),1,0)</f>
        <v>0</v>
      </c>
      <c r="AG44" s="22">
        <f>IF(AND(AG$4&gt;=$D44,AG$4&lt;=$E44),1,0)</f>
        <v>0</v>
      </c>
      <c r="AH44" s="22">
        <f>IF(AND(AH$4&gt;=$D44,AH$4&lt;=$E44),1,0)</f>
        <v>0</v>
      </c>
      <c r="AI44" s="22">
        <f>IF(AND(AI$4&gt;=$D44,AI$4&lt;=$E44),1,0)</f>
        <v>0</v>
      </c>
      <c r="AJ44" s="22">
        <f>IF(AND(AJ$4&gt;=$D44,AJ$4&lt;=$E44),1,0)</f>
        <v>0</v>
      </c>
      <c r="AK44" s="22">
        <f>IF(AND(AK$4&gt;=$D44,AK$4&lt;=$E44),1,0)</f>
        <v>0</v>
      </c>
      <c r="AL44" s="22">
        <f>IF(AND(AL$4&gt;=$D44,AL$4&lt;=$E44),1,0)</f>
        <v>0</v>
      </c>
      <c r="AM44" s="22">
        <f>IF(AND(AM$4&gt;=$D44,AM$4&lt;=$E44),1,0)</f>
        <v>0</v>
      </c>
      <c r="AN44" s="22">
        <f>IF(AND(AN$4&gt;=$D44,AN$4&lt;=$E44),1,0)</f>
        <v>0</v>
      </c>
      <c r="AO44" s="22">
        <f>IF(AND(AO$4&gt;=$D44,AO$4&lt;=$E44),1,0)</f>
        <v>0</v>
      </c>
    </row>
    <row r="45" ht="30" customHeight="1">
      <c r="A45" s="11" t="inlineStr">
        <is>
          <t>T11-GD</t>
        </is>
      </c>
      <c r="B45" s="11" t="inlineStr">
        <is>
          <t>Cân bằng đầy đủ 20 Cổ và nguồn loot</t>
        </is>
      </c>
      <c r="C45" s="11" t="inlineStr">
        <is>
          <t>GD</t>
        </is>
      </c>
      <c r="D45" s="11">
        <f>'13_WBS'!G45</f>
        <v>21</v>
      </c>
      <c r="E45" s="11">
        <f>'13_WBS'!H45</f>
        <v>22</v>
      </c>
      <c r="F45" s="21">
        <f>IF(AND(F$4&gt;=$D45,F$4&lt;=$E45),1,0)</f>
        <v>0</v>
      </c>
      <c r="G45" s="21">
        <f>IF(AND(G$4&gt;=$D45,G$4&lt;=$E45),1,0)</f>
        <v>0</v>
      </c>
      <c r="H45" s="21">
        <f>IF(AND(H$4&gt;=$D45,H$4&lt;=$E45),1,0)</f>
        <v>0</v>
      </c>
      <c r="I45" s="21">
        <f>IF(AND(I$4&gt;=$D45,I$4&lt;=$E45),1,0)</f>
        <v>0</v>
      </c>
      <c r="J45" s="21">
        <f>IF(AND(J$4&gt;=$D45,J$4&lt;=$E45),1,0)</f>
        <v>0</v>
      </c>
      <c r="K45" s="21">
        <f>IF(AND(K$4&gt;=$D45,K$4&lt;=$E45),1,0)</f>
        <v>0</v>
      </c>
      <c r="L45" s="21">
        <f>IF(AND(L$4&gt;=$D45,L$4&lt;=$E45),1,0)</f>
        <v>0</v>
      </c>
      <c r="M45" s="21">
        <f>IF(AND(M$4&gt;=$D45,M$4&lt;=$E45),1,0)</f>
        <v>0</v>
      </c>
      <c r="N45" s="21">
        <f>IF(AND(N$4&gt;=$D45,N$4&lt;=$E45),1,0)</f>
        <v>0</v>
      </c>
      <c r="O45" s="21">
        <f>IF(AND(O$4&gt;=$D45,O$4&lt;=$E45),1,0)</f>
        <v>0</v>
      </c>
      <c r="P45" s="21">
        <f>IF(AND(P$4&gt;=$D45,P$4&lt;=$E45),1,0)</f>
        <v>0</v>
      </c>
      <c r="Q45" s="21">
        <f>IF(AND(Q$4&gt;=$D45,Q$4&lt;=$E45),1,0)</f>
        <v>0</v>
      </c>
      <c r="R45" s="21">
        <f>IF(AND(R$4&gt;=$D45,R$4&lt;=$E45),1,0)</f>
        <v>0</v>
      </c>
      <c r="S45" s="21">
        <f>IF(AND(S$4&gt;=$D45,S$4&lt;=$E45),1,0)</f>
        <v>0</v>
      </c>
      <c r="T45" s="21">
        <f>IF(AND(T$4&gt;=$D45,T$4&lt;=$E45),1,0)</f>
        <v>0</v>
      </c>
      <c r="U45" s="21">
        <f>IF(AND(U$4&gt;=$D45,U$4&lt;=$E45),1,0)</f>
        <v>0</v>
      </c>
      <c r="V45" s="21">
        <f>IF(AND(V$4&gt;=$D45,V$4&lt;=$E45),1,0)</f>
        <v>0</v>
      </c>
      <c r="W45" s="21">
        <f>IF(AND(W$4&gt;=$D45,W$4&lt;=$E45),1,0)</f>
        <v>0</v>
      </c>
      <c r="X45" s="21">
        <f>IF(AND(X$4&gt;=$D45,X$4&lt;=$E45),1,0)</f>
        <v>0</v>
      </c>
      <c r="Y45" s="21">
        <f>IF(AND(Y$4&gt;=$D45,Y$4&lt;=$E45),1,0)</f>
        <v>0</v>
      </c>
      <c r="Z45" s="21">
        <f>IF(AND(Z$4&gt;=$D45,Z$4&lt;=$E45),1,0)</f>
        <v>1</v>
      </c>
      <c r="AA45" s="21">
        <f>IF(AND(AA$4&gt;=$D45,AA$4&lt;=$E45),1,0)</f>
        <v>1</v>
      </c>
      <c r="AB45" s="21">
        <f>IF(AND(AB$4&gt;=$D45,AB$4&lt;=$E45),1,0)</f>
        <v>0</v>
      </c>
      <c r="AC45" s="21">
        <f>IF(AND(AC$4&gt;=$D45,AC$4&lt;=$E45),1,0)</f>
        <v>0</v>
      </c>
      <c r="AD45" s="21">
        <f>IF(AND(AD$4&gt;=$D45,AD$4&lt;=$E45),1,0)</f>
        <v>0</v>
      </c>
      <c r="AE45" s="21">
        <f>IF(AND(AE$4&gt;=$D45,AE$4&lt;=$E45),1,0)</f>
        <v>0</v>
      </c>
      <c r="AF45" s="21">
        <f>IF(AND(AF$4&gt;=$D45,AF$4&lt;=$E45),1,0)</f>
        <v>0</v>
      </c>
      <c r="AG45" s="21">
        <f>IF(AND(AG$4&gt;=$D45,AG$4&lt;=$E45),1,0)</f>
        <v>0</v>
      </c>
      <c r="AH45" s="21">
        <f>IF(AND(AH$4&gt;=$D45,AH$4&lt;=$E45),1,0)</f>
        <v>0</v>
      </c>
      <c r="AI45" s="21">
        <f>IF(AND(AI$4&gt;=$D45,AI$4&lt;=$E45),1,0)</f>
        <v>0</v>
      </c>
      <c r="AJ45" s="21">
        <f>IF(AND(AJ$4&gt;=$D45,AJ$4&lt;=$E45),1,0)</f>
        <v>0</v>
      </c>
      <c r="AK45" s="21">
        <f>IF(AND(AK$4&gt;=$D45,AK$4&lt;=$E45),1,0)</f>
        <v>0</v>
      </c>
      <c r="AL45" s="21">
        <f>IF(AND(AL$4&gt;=$D45,AL$4&lt;=$E45),1,0)</f>
        <v>0</v>
      </c>
      <c r="AM45" s="21">
        <f>IF(AND(AM$4&gt;=$D45,AM$4&lt;=$E45),1,0)</f>
        <v>0</v>
      </c>
      <c r="AN45" s="21">
        <f>IF(AND(AN$4&gt;=$D45,AN$4&lt;=$E45),1,0)</f>
        <v>0</v>
      </c>
      <c r="AO45" s="21">
        <f>IF(AND(AO$4&gt;=$D45,AO$4&lt;=$E45),1,0)</f>
        <v>0</v>
      </c>
    </row>
    <row r="46" ht="30" customHeight="1">
      <c r="A46" s="12" t="inlineStr">
        <is>
          <t>T11-CL</t>
        </is>
      </c>
      <c r="B46" s="12" t="inlineStr">
        <is>
          <t>Tích hợp đầy đủ Cổ, passive và codex</t>
        </is>
      </c>
      <c r="C46" s="12" t="inlineStr">
        <is>
          <t>CL</t>
        </is>
      </c>
      <c r="D46" s="12">
        <f>'13_WBS'!G46</f>
        <v>21</v>
      </c>
      <c r="E46" s="12">
        <f>'13_WBS'!H46</f>
        <v>22</v>
      </c>
      <c r="F46" s="22">
        <f>IF(AND(F$4&gt;=$D46,F$4&lt;=$E46),1,0)</f>
        <v>0</v>
      </c>
      <c r="G46" s="22">
        <f>IF(AND(G$4&gt;=$D46,G$4&lt;=$E46),1,0)</f>
        <v>0</v>
      </c>
      <c r="H46" s="22">
        <f>IF(AND(H$4&gt;=$D46,H$4&lt;=$E46),1,0)</f>
        <v>0</v>
      </c>
      <c r="I46" s="22">
        <f>IF(AND(I$4&gt;=$D46,I$4&lt;=$E46),1,0)</f>
        <v>0</v>
      </c>
      <c r="J46" s="22">
        <f>IF(AND(J$4&gt;=$D46,J$4&lt;=$E46),1,0)</f>
        <v>0</v>
      </c>
      <c r="K46" s="22">
        <f>IF(AND(K$4&gt;=$D46,K$4&lt;=$E46),1,0)</f>
        <v>0</v>
      </c>
      <c r="L46" s="22">
        <f>IF(AND(L$4&gt;=$D46,L$4&lt;=$E46),1,0)</f>
        <v>0</v>
      </c>
      <c r="M46" s="22">
        <f>IF(AND(M$4&gt;=$D46,M$4&lt;=$E46),1,0)</f>
        <v>0</v>
      </c>
      <c r="N46" s="22">
        <f>IF(AND(N$4&gt;=$D46,N$4&lt;=$E46),1,0)</f>
        <v>0</v>
      </c>
      <c r="O46" s="22">
        <f>IF(AND(O$4&gt;=$D46,O$4&lt;=$E46),1,0)</f>
        <v>0</v>
      </c>
      <c r="P46" s="22">
        <f>IF(AND(P$4&gt;=$D46,P$4&lt;=$E46),1,0)</f>
        <v>0</v>
      </c>
      <c r="Q46" s="22">
        <f>IF(AND(Q$4&gt;=$D46,Q$4&lt;=$E46),1,0)</f>
        <v>0</v>
      </c>
      <c r="R46" s="22">
        <f>IF(AND(R$4&gt;=$D46,R$4&lt;=$E46),1,0)</f>
        <v>0</v>
      </c>
      <c r="S46" s="22">
        <f>IF(AND(S$4&gt;=$D46,S$4&lt;=$E46),1,0)</f>
        <v>0</v>
      </c>
      <c r="T46" s="22">
        <f>IF(AND(T$4&gt;=$D46,T$4&lt;=$E46),1,0)</f>
        <v>0</v>
      </c>
      <c r="U46" s="22">
        <f>IF(AND(U$4&gt;=$D46,U$4&lt;=$E46),1,0)</f>
        <v>0</v>
      </c>
      <c r="V46" s="22">
        <f>IF(AND(V$4&gt;=$D46,V$4&lt;=$E46),1,0)</f>
        <v>0</v>
      </c>
      <c r="W46" s="22">
        <f>IF(AND(W$4&gt;=$D46,W$4&lt;=$E46),1,0)</f>
        <v>0</v>
      </c>
      <c r="X46" s="22">
        <f>IF(AND(X$4&gt;=$D46,X$4&lt;=$E46),1,0)</f>
        <v>0</v>
      </c>
      <c r="Y46" s="22">
        <f>IF(AND(Y$4&gt;=$D46,Y$4&lt;=$E46),1,0)</f>
        <v>0</v>
      </c>
      <c r="Z46" s="22">
        <f>IF(AND(Z$4&gt;=$D46,Z$4&lt;=$E46),1,0)</f>
        <v>1</v>
      </c>
      <c r="AA46" s="22">
        <f>IF(AND(AA$4&gt;=$D46,AA$4&lt;=$E46),1,0)</f>
        <v>1</v>
      </c>
      <c r="AB46" s="22">
        <f>IF(AND(AB$4&gt;=$D46,AB$4&lt;=$E46),1,0)</f>
        <v>0</v>
      </c>
      <c r="AC46" s="22">
        <f>IF(AND(AC$4&gt;=$D46,AC$4&lt;=$E46),1,0)</f>
        <v>0</v>
      </c>
      <c r="AD46" s="22">
        <f>IF(AND(AD$4&gt;=$D46,AD$4&lt;=$E46),1,0)</f>
        <v>0</v>
      </c>
      <c r="AE46" s="22">
        <f>IF(AND(AE$4&gt;=$D46,AE$4&lt;=$E46),1,0)</f>
        <v>0</v>
      </c>
      <c r="AF46" s="22">
        <f>IF(AND(AF$4&gt;=$D46,AF$4&lt;=$E46),1,0)</f>
        <v>0</v>
      </c>
      <c r="AG46" s="22">
        <f>IF(AND(AG$4&gt;=$D46,AG$4&lt;=$E46),1,0)</f>
        <v>0</v>
      </c>
      <c r="AH46" s="22">
        <f>IF(AND(AH$4&gt;=$D46,AH$4&lt;=$E46),1,0)</f>
        <v>0</v>
      </c>
      <c r="AI46" s="22">
        <f>IF(AND(AI$4&gt;=$D46,AI$4&lt;=$E46),1,0)</f>
        <v>0</v>
      </c>
      <c r="AJ46" s="22">
        <f>IF(AND(AJ$4&gt;=$D46,AJ$4&lt;=$E46),1,0)</f>
        <v>0</v>
      </c>
      <c r="AK46" s="22">
        <f>IF(AND(AK$4&gt;=$D46,AK$4&lt;=$E46),1,0)</f>
        <v>0</v>
      </c>
      <c r="AL46" s="22">
        <f>IF(AND(AL$4&gt;=$D46,AL$4&lt;=$E46),1,0)</f>
        <v>0</v>
      </c>
      <c r="AM46" s="22">
        <f>IF(AND(AM$4&gt;=$D46,AM$4&lt;=$E46),1,0)</f>
        <v>0</v>
      </c>
      <c r="AN46" s="22">
        <f>IF(AND(AN$4&gt;=$D46,AN$4&lt;=$E46),1,0)</f>
        <v>0</v>
      </c>
      <c r="AO46" s="22">
        <f>IF(AND(AO$4&gt;=$D46,AO$4&lt;=$E46),1,0)</f>
        <v>0</v>
      </c>
    </row>
    <row r="47" ht="30" customHeight="1">
      <c r="A47" s="11" t="inlineStr">
        <is>
          <t>T11-SV</t>
        </is>
      </c>
      <c r="B47" s="11" t="inlineStr">
        <is>
          <t>Mở rộng effect primitives và content validator</t>
        </is>
      </c>
      <c r="C47" s="11" t="inlineStr">
        <is>
          <t>SV</t>
        </is>
      </c>
      <c r="D47" s="11">
        <f>'13_WBS'!G47</f>
        <v>21</v>
      </c>
      <c r="E47" s="11">
        <f>'13_WBS'!H47</f>
        <v>22</v>
      </c>
      <c r="F47" s="21">
        <f>IF(AND(F$4&gt;=$D47,F$4&lt;=$E47),1,0)</f>
        <v>0</v>
      </c>
      <c r="G47" s="21">
        <f>IF(AND(G$4&gt;=$D47,G$4&lt;=$E47),1,0)</f>
        <v>0</v>
      </c>
      <c r="H47" s="21">
        <f>IF(AND(H$4&gt;=$D47,H$4&lt;=$E47),1,0)</f>
        <v>0</v>
      </c>
      <c r="I47" s="21">
        <f>IF(AND(I$4&gt;=$D47,I$4&lt;=$E47),1,0)</f>
        <v>0</v>
      </c>
      <c r="J47" s="21">
        <f>IF(AND(J$4&gt;=$D47,J$4&lt;=$E47),1,0)</f>
        <v>0</v>
      </c>
      <c r="K47" s="21">
        <f>IF(AND(K$4&gt;=$D47,K$4&lt;=$E47),1,0)</f>
        <v>0</v>
      </c>
      <c r="L47" s="21">
        <f>IF(AND(L$4&gt;=$D47,L$4&lt;=$E47),1,0)</f>
        <v>0</v>
      </c>
      <c r="M47" s="21">
        <f>IF(AND(M$4&gt;=$D47,M$4&lt;=$E47),1,0)</f>
        <v>0</v>
      </c>
      <c r="N47" s="21">
        <f>IF(AND(N$4&gt;=$D47,N$4&lt;=$E47),1,0)</f>
        <v>0</v>
      </c>
      <c r="O47" s="21">
        <f>IF(AND(O$4&gt;=$D47,O$4&lt;=$E47),1,0)</f>
        <v>0</v>
      </c>
      <c r="P47" s="21">
        <f>IF(AND(P$4&gt;=$D47,P$4&lt;=$E47),1,0)</f>
        <v>0</v>
      </c>
      <c r="Q47" s="21">
        <f>IF(AND(Q$4&gt;=$D47,Q$4&lt;=$E47),1,0)</f>
        <v>0</v>
      </c>
      <c r="R47" s="21">
        <f>IF(AND(R$4&gt;=$D47,R$4&lt;=$E47),1,0)</f>
        <v>0</v>
      </c>
      <c r="S47" s="21">
        <f>IF(AND(S$4&gt;=$D47,S$4&lt;=$E47),1,0)</f>
        <v>0</v>
      </c>
      <c r="T47" s="21">
        <f>IF(AND(T$4&gt;=$D47,T$4&lt;=$E47),1,0)</f>
        <v>0</v>
      </c>
      <c r="U47" s="21">
        <f>IF(AND(U$4&gt;=$D47,U$4&lt;=$E47),1,0)</f>
        <v>0</v>
      </c>
      <c r="V47" s="21">
        <f>IF(AND(V$4&gt;=$D47,V$4&lt;=$E47),1,0)</f>
        <v>0</v>
      </c>
      <c r="W47" s="21">
        <f>IF(AND(W$4&gt;=$D47,W$4&lt;=$E47),1,0)</f>
        <v>0</v>
      </c>
      <c r="X47" s="21">
        <f>IF(AND(X$4&gt;=$D47,X$4&lt;=$E47),1,0)</f>
        <v>0</v>
      </c>
      <c r="Y47" s="21">
        <f>IF(AND(Y$4&gt;=$D47,Y$4&lt;=$E47),1,0)</f>
        <v>0</v>
      </c>
      <c r="Z47" s="21">
        <f>IF(AND(Z$4&gt;=$D47,Z$4&lt;=$E47),1,0)</f>
        <v>1</v>
      </c>
      <c r="AA47" s="21">
        <f>IF(AND(AA$4&gt;=$D47,AA$4&lt;=$E47),1,0)</f>
        <v>1</v>
      </c>
      <c r="AB47" s="21">
        <f>IF(AND(AB$4&gt;=$D47,AB$4&lt;=$E47),1,0)</f>
        <v>0</v>
      </c>
      <c r="AC47" s="21">
        <f>IF(AND(AC$4&gt;=$D47,AC$4&lt;=$E47),1,0)</f>
        <v>0</v>
      </c>
      <c r="AD47" s="21">
        <f>IF(AND(AD$4&gt;=$D47,AD$4&lt;=$E47),1,0)</f>
        <v>0</v>
      </c>
      <c r="AE47" s="21">
        <f>IF(AND(AE$4&gt;=$D47,AE$4&lt;=$E47),1,0)</f>
        <v>0</v>
      </c>
      <c r="AF47" s="21">
        <f>IF(AND(AF$4&gt;=$D47,AF$4&lt;=$E47),1,0)</f>
        <v>0</v>
      </c>
      <c r="AG47" s="21">
        <f>IF(AND(AG$4&gt;=$D47,AG$4&lt;=$E47),1,0)</f>
        <v>0</v>
      </c>
      <c r="AH47" s="21">
        <f>IF(AND(AH$4&gt;=$D47,AH$4&lt;=$E47),1,0)</f>
        <v>0</v>
      </c>
      <c r="AI47" s="21">
        <f>IF(AND(AI$4&gt;=$D47,AI$4&lt;=$E47),1,0)</f>
        <v>0</v>
      </c>
      <c r="AJ47" s="21">
        <f>IF(AND(AJ$4&gt;=$D47,AJ$4&lt;=$E47),1,0)</f>
        <v>0</v>
      </c>
      <c r="AK47" s="21">
        <f>IF(AND(AK$4&gt;=$D47,AK$4&lt;=$E47),1,0)</f>
        <v>0</v>
      </c>
      <c r="AL47" s="21">
        <f>IF(AND(AL$4&gt;=$D47,AL$4&lt;=$E47),1,0)</f>
        <v>0</v>
      </c>
      <c r="AM47" s="21">
        <f>IF(AND(AM$4&gt;=$D47,AM$4&lt;=$E47),1,0)</f>
        <v>0</v>
      </c>
      <c r="AN47" s="21">
        <f>IF(AND(AN$4&gt;=$D47,AN$4&lt;=$E47),1,0)</f>
        <v>0</v>
      </c>
      <c r="AO47" s="21">
        <f>IF(AND(AO$4&gt;=$D47,AO$4&lt;=$E47),1,0)</f>
        <v>0</v>
      </c>
    </row>
    <row r="48" ht="30" customHeight="1">
      <c r="A48" s="12" t="inlineStr">
        <is>
          <t>T11-AR</t>
        </is>
      </c>
      <c r="B48" s="12" t="inlineStr">
        <is>
          <t>Hoàn thiện icon, animation và status FX</t>
        </is>
      </c>
      <c r="C48" s="12" t="inlineStr">
        <is>
          <t>AR</t>
        </is>
      </c>
      <c r="D48" s="12">
        <f>'13_WBS'!G48</f>
        <v>21</v>
      </c>
      <c r="E48" s="12">
        <f>'13_WBS'!H48</f>
        <v>22</v>
      </c>
      <c r="F48" s="22">
        <f>IF(AND(F$4&gt;=$D48,F$4&lt;=$E48),1,0)</f>
        <v>0</v>
      </c>
      <c r="G48" s="22">
        <f>IF(AND(G$4&gt;=$D48,G$4&lt;=$E48),1,0)</f>
        <v>0</v>
      </c>
      <c r="H48" s="22">
        <f>IF(AND(H$4&gt;=$D48,H$4&lt;=$E48),1,0)</f>
        <v>0</v>
      </c>
      <c r="I48" s="22">
        <f>IF(AND(I$4&gt;=$D48,I$4&lt;=$E48),1,0)</f>
        <v>0</v>
      </c>
      <c r="J48" s="22">
        <f>IF(AND(J$4&gt;=$D48,J$4&lt;=$E48),1,0)</f>
        <v>0</v>
      </c>
      <c r="K48" s="22">
        <f>IF(AND(K$4&gt;=$D48,K$4&lt;=$E48),1,0)</f>
        <v>0</v>
      </c>
      <c r="L48" s="22">
        <f>IF(AND(L$4&gt;=$D48,L$4&lt;=$E48),1,0)</f>
        <v>0</v>
      </c>
      <c r="M48" s="22">
        <f>IF(AND(M$4&gt;=$D48,M$4&lt;=$E48),1,0)</f>
        <v>0</v>
      </c>
      <c r="N48" s="22">
        <f>IF(AND(N$4&gt;=$D48,N$4&lt;=$E48),1,0)</f>
        <v>0</v>
      </c>
      <c r="O48" s="22">
        <f>IF(AND(O$4&gt;=$D48,O$4&lt;=$E48),1,0)</f>
        <v>0</v>
      </c>
      <c r="P48" s="22">
        <f>IF(AND(P$4&gt;=$D48,P$4&lt;=$E48),1,0)</f>
        <v>0</v>
      </c>
      <c r="Q48" s="22">
        <f>IF(AND(Q$4&gt;=$D48,Q$4&lt;=$E48),1,0)</f>
        <v>0</v>
      </c>
      <c r="R48" s="22">
        <f>IF(AND(R$4&gt;=$D48,R$4&lt;=$E48),1,0)</f>
        <v>0</v>
      </c>
      <c r="S48" s="22">
        <f>IF(AND(S$4&gt;=$D48,S$4&lt;=$E48),1,0)</f>
        <v>0</v>
      </c>
      <c r="T48" s="22">
        <f>IF(AND(T$4&gt;=$D48,T$4&lt;=$E48),1,0)</f>
        <v>0</v>
      </c>
      <c r="U48" s="22">
        <f>IF(AND(U$4&gt;=$D48,U$4&lt;=$E48),1,0)</f>
        <v>0</v>
      </c>
      <c r="V48" s="22">
        <f>IF(AND(V$4&gt;=$D48,V$4&lt;=$E48),1,0)</f>
        <v>0</v>
      </c>
      <c r="W48" s="22">
        <f>IF(AND(W$4&gt;=$D48,W$4&lt;=$E48),1,0)</f>
        <v>0</v>
      </c>
      <c r="X48" s="22">
        <f>IF(AND(X$4&gt;=$D48,X$4&lt;=$E48),1,0)</f>
        <v>0</v>
      </c>
      <c r="Y48" s="22">
        <f>IF(AND(Y$4&gt;=$D48,Y$4&lt;=$E48),1,0)</f>
        <v>0</v>
      </c>
      <c r="Z48" s="22">
        <f>IF(AND(Z$4&gt;=$D48,Z$4&lt;=$E48),1,0)</f>
        <v>1</v>
      </c>
      <c r="AA48" s="22">
        <f>IF(AND(AA$4&gt;=$D48,AA$4&lt;=$E48),1,0)</f>
        <v>1</v>
      </c>
      <c r="AB48" s="22">
        <f>IF(AND(AB$4&gt;=$D48,AB$4&lt;=$E48),1,0)</f>
        <v>0</v>
      </c>
      <c r="AC48" s="22">
        <f>IF(AND(AC$4&gt;=$D48,AC$4&lt;=$E48),1,0)</f>
        <v>0</v>
      </c>
      <c r="AD48" s="22">
        <f>IF(AND(AD$4&gt;=$D48,AD$4&lt;=$E48),1,0)</f>
        <v>0</v>
      </c>
      <c r="AE48" s="22">
        <f>IF(AND(AE$4&gt;=$D48,AE$4&lt;=$E48),1,0)</f>
        <v>0</v>
      </c>
      <c r="AF48" s="22">
        <f>IF(AND(AF$4&gt;=$D48,AF$4&lt;=$E48),1,0)</f>
        <v>0</v>
      </c>
      <c r="AG48" s="22">
        <f>IF(AND(AG$4&gt;=$D48,AG$4&lt;=$E48),1,0)</f>
        <v>0</v>
      </c>
      <c r="AH48" s="22">
        <f>IF(AND(AH$4&gt;=$D48,AH$4&lt;=$E48),1,0)</f>
        <v>0</v>
      </c>
      <c r="AI48" s="22">
        <f>IF(AND(AI$4&gt;=$D48,AI$4&lt;=$E48),1,0)</f>
        <v>0</v>
      </c>
      <c r="AJ48" s="22">
        <f>IF(AND(AJ$4&gt;=$D48,AJ$4&lt;=$E48),1,0)</f>
        <v>0</v>
      </c>
      <c r="AK48" s="22">
        <f>IF(AND(AK$4&gt;=$D48,AK$4&lt;=$E48),1,0)</f>
        <v>0</v>
      </c>
      <c r="AL48" s="22">
        <f>IF(AND(AL$4&gt;=$D48,AL$4&lt;=$E48),1,0)</f>
        <v>0</v>
      </c>
      <c r="AM48" s="22">
        <f>IF(AND(AM$4&gt;=$D48,AM$4&lt;=$E48),1,0)</f>
        <v>0</v>
      </c>
      <c r="AN48" s="22">
        <f>IF(AND(AN$4&gt;=$D48,AN$4&lt;=$E48),1,0)</f>
        <v>0</v>
      </c>
      <c r="AO48" s="22">
        <f>IF(AND(AO$4&gt;=$D48,AO$4&lt;=$E48),1,0)</f>
        <v>0</v>
      </c>
    </row>
    <row r="49" ht="30" customHeight="1">
      <c r="A49" s="11" t="inlineStr">
        <is>
          <t>T12-GD</t>
        </is>
      </c>
      <c r="B49" s="11" t="inlineStr">
        <is>
          <t>Gate G3 — E2E vòng Cổ</t>
        </is>
      </c>
      <c r="C49" s="11" t="inlineStr">
        <is>
          <t>GD</t>
        </is>
      </c>
      <c r="D49" s="11">
        <f>'13_WBS'!G49</f>
        <v>23</v>
      </c>
      <c r="E49" s="11">
        <f>'13_WBS'!H49</f>
        <v>24</v>
      </c>
      <c r="F49" s="21">
        <f>IF(AND(F$4&gt;=$D49,F$4&lt;=$E49),1,0)</f>
        <v>0</v>
      </c>
      <c r="G49" s="21">
        <f>IF(AND(G$4&gt;=$D49,G$4&lt;=$E49),1,0)</f>
        <v>0</v>
      </c>
      <c r="H49" s="21">
        <f>IF(AND(H$4&gt;=$D49,H$4&lt;=$E49),1,0)</f>
        <v>0</v>
      </c>
      <c r="I49" s="21">
        <f>IF(AND(I$4&gt;=$D49,I$4&lt;=$E49),1,0)</f>
        <v>0</v>
      </c>
      <c r="J49" s="21">
        <f>IF(AND(J$4&gt;=$D49,J$4&lt;=$E49),1,0)</f>
        <v>0</v>
      </c>
      <c r="K49" s="21">
        <f>IF(AND(K$4&gt;=$D49,K$4&lt;=$E49),1,0)</f>
        <v>0</v>
      </c>
      <c r="L49" s="21">
        <f>IF(AND(L$4&gt;=$D49,L$4&lt;=$E49),1,0)</f>
        <v>0</v>
      </c>
      <c r="M49" s="21">
        <f>IF(AND(M$4&gt;=$D49,M$4&lt;=$E49),1,0)</f>
        <v>0</v>
      </c>
      <c r="N49" s="21">
        <f>IF(AND(N$4&gt;=$D49,N$4&lt;=$E49),1,0)</f>
        <v>0</v>
      </c>
      <c r="O49" s="21">
        <f>IF(AND(O$4&gt;=$D49,O$4&lt;=$E49),1,0)</f>
        <v>0</v>
      </c>
      <c r="P49" s="21">
        <f>IF(AND(P$4&gt;=$D49,P$4&lt;=$E49),1,0)</f>
        <v>0</v>
      </c>
      <c r="Q49" s="21">
        <f>IF(AND(Q$4&gt;=$D49,Q$4&lt;=$E49),1,0)</f>
        <v>0</v>
      </c>
      <c r="R49" s="21">
        <f>IF(AND(R$4&gt;=$D49,R$4&lt;=$E49),1,0)</f>
        <v>0</v>
      </c>
      <c r="S49" s="21">
        <f>IF(AND(S$4&gt;=$D49,S$4&lt;=$E49),1,0)</f>
        <v>0</v>
      </c>
      <c r="T49" s="21">
        <f>IF(AND(T$4&gt;=$D49,T$4&lt;=$E49),1,0)</f>
        <v>0</v>
      </c>
      <c r="U49" s="21">
        <f>IF(AND(U$4&gt;=$D49,U$4&lt;=$E49),1,0)</f>
        <v>0</v>
      </c>
      <c r="V49" s="21">
        <f>IF(AND(V$4&gt;=$D49,V$4&lt;=$E49),1,0)</f>
        <v>0</v>
      </c>
      <c r="W49" s="21">
        <f>IF(AND(W$4&gt;=$D49,W$4&lt;=$E49),1,0)</f>
        <v>0</v>
      </c>
      <c r="X49" s="21">
        <f>IF(AND(X$4&gt;=$D49,X$4&lt;=$E49),1,0)</f>
        <v>0</v>
      </c>
      <c r="Y49" s="21">
        <f>IF(AND(Y$4&gt;=$D49,Y$4&lt;=$E49),1,0)</f>
        <v>0</v>
      </c>
      <c r="Z49" s="21">
        <f>IF(AND(Z$4&gt;=$D49,Z$4&lt;=$E49),1,0)</f>
        <v>0</v>
      </c>
      <c r="AA49" s="21">
        <f>IF(AND(AA$4&gt;=$D49,AA$4&lt;=$E49),1,0)</f>
        <v>0</v>
      </c>
      <c r="AB49" s="21">
        <f>IF(AND(AB$4&gt;=$D49,AB$4&lt;=$E49),1,0)</f>
        <v>1</v>
      </c>
      <c r="AC49" s="21">
        <f>IF(AND(AC$4&gt;=$D49,AC$4&lt;=$E49),1,0)</f>
        <v>1</v>
      </c>
      <c r="AD49" s="21">
        <f>IF(AND(AD$4&gt;=$D49,AD$4&lt;=$E49),1,0)</f>
        <v>0</v>
      </c>
      <c r="AE49" s="21">
        <f>IF(AND(AE$4&gt;=$D49,AE$4&lt;=$E49),1,0)</f>
        <v>0</v>
      </c>
      <c r="AF49" s="21">
        <f>IF(AND(AF$4&gt;=$D49,AF$4&lt;=$E49),1,0)</f>
        <v>0</v>
      </c>
      <c r="AG49" s="21">
        <f>IF(AND(AG$4&gt;=$D49,AG$4&lt;=$E49),1,0)</f>
        <v>0</v>
      </c>
      <c r="AH49" s="21">
        <f>IF(AND(AH$4&gt;=$D49,AH$4&lt;=$E49),1,0)</f>
        <v>0</v>
      </c>
      <c r="AI49" s="21">
        <f>IF(AND(AI$4&gt;=$D49,AI$4&lt;=$E49),1,0)</f>
        <v>0</v>
      </c>
      <c r="AJ49" s="21">
        <f>IF(AND(AJ$4&gt;=$D49,AJ$4&lt;=$E49),1,0)</f>
        <v>0</v>
      </c>
      <c r="AK49" s="21">
        <f>IF(AND(AK$4&gt;=$D49,AK$4&lt;=$E49),1,0)</f>
        <v>0</v>
      </c>
      <c r="AL49" s="21">
        <f>IF(AND(AL$4&gt;=$D49,AL$4&lt;=$E49),1,0)</f>
        <v>0</v>
      </c>
      <c r="AM49" s="21">
        <f>IF(AND(AM$4&gt;=$D49,AM$4&lt;=$E49),1,0)</f>
        <v>0</v>
      </c>
      <c r="AN49" s="21">
        <f>IF(AND(AN$4&gt;=$D49,AN$4&lt;=$E49),1,0)</f>
        <v>0</v>
      </c>
      <c r="AO49" s="21">
        <f>IF(AND(AO$4&gt;=$D49,AO$4&lt;=$E49),1,0)</f>
        <v>0</v>
      </c>
    </row>
    <row r="50" ht="30" customHeight="1">
      <c r="A50" s="12" t="inlineStr">
        <is>
          <t>T12-CL</t>
        </is>
      </c>
      <c r="B50" s="12" t="inlineStr">
        <is>
          <t>Reconnect UI và E2E sửa lỗi client</t>
        </is>
      </c>
      <c r="C50" s="12" t="inlineStr">
        <is>
          <t>CL</t>
        </is>
      </c>
      <c r="D50" s="12">
        <f>'13_WBS'!G50</f>
        <v>23</v>
      </c>
      <c r="E50" s="12">
        <f>'13_WBS'!H50</f>
        <v>24</v>
      </c>
      <c r="F50" s="22">
        <f>IF(AND(F$4&gt;=$D50,F$4&lt;=$E50),1,0)</f>
        <v>0</v>
      </c>
      <c r="G50" s="22">
        <f>IF(AND(G$4&gt;=$D50,G$4&lt;=$E50),1,0)</f>
        <v>0</v>
      </c>
      <c r="H50" s="22">
        <f>IF(AND(H$4&gt;=$D50,H$4&lt;=$E50),1,0)</f>
        <v>0</v>
      </c>
      <c r="I50" s="22">
        <f>IF(AND(I$4&gt;=$D50,I$4&lt;=$E50),1,0)</f>
        <v>0</v>
      </c>
      <c r="J50" s="22">
        <f>IF(AND(J$4&gt;=$D50,J$4&lt;=$E50),1,0)</f>
        <v>0</v>
      </c>
      <c r="K50" s="22">
        <f>IF(AND(K$4&gt;=$D50,K$4&lt;=$E50),1,0)</f>
        <v>0</v>
      </c>
      <c r="L50" s="22">
        <f>IF(AND(L$4&gt;=$D50,L$4&lt;=$E50),1,0)</f>
        <v>0</v>
      </c>
      <c r="M50" s="22">
        <f>IF(AND(M$4&gt;=$D50,M$4&lt;=$E50),1,0)</f>
        <v>0</v>
      </c>
      <c r="N50" s="22">
        <f>IF(AND(N$4&gt;=$D50,N$4&lt;=$E50),1,0)</f>
        <v>0</v>
      </c>
      <c r="O50" s="22">
        <f>IF(AND(O$4&gt;=$D50,O$4&lt;=$E50),1,0)</f>
        <v>0</v>
      </c>
      <c r="P50" s="22">
        <f>IF(AND(P$4&gt;=$D50,P$4&lt;=$E50),1,0)</f>
        <v>0</v>
      </c>
      <c r="Q50" s="22">
        <f>IF(AND(Q$4&gt;=$D50,Q$4&lt;=$E50),1,0)</f>
        <v>0</v>
      </c>
      <c r="R50" s="22">
        <f>IF(AND(R$4&gt;=$D50,R$4&lt;=$E50),1,0)</f>
        <v>0</v>
      </c>
      <c r="S50" s="22">
        <f>IF(AND(S$4&gt;=$D50,S$4&lt;=$E50),1,0)</f>
        <v>0</v>
      </c>
      <c r="T50" s="22">
        <f>IF(AND(T$4&gt;=$D50,T$4&lt;=$E50),1,0)</f>
        <v>0</v>
      </c>
      <c r="U50" s="22">
        <f>IF(AND(U$4&gt;=$D50,U$4&lt;=$E50),1,0)</f>
        <v>0</v>
      </c>
      <c r="V50" s="22">
        <f>IF(AND(V$4&gt;=$D50,V$4&lt;=$E50),1,0)</f>
        <v>0</v>
      </c>
      <c r="W50" s="22">
        <f>IF(AND(W$4&gt;=$D50,W$4&lt;=$E50),1,0)</f>
        <v>0</v>
      </c>
      <c r="X50" s="22">
        <f>IF(AND(X$4&gt;=$D50,X$4&lt;=$E50),1,0)</f>
        <v>0</v>
      </c>
      <c r="Y50" s="22">
        <f>IF(AND(Y$4&gt;=$D50,Y$4&lt;=$E50),1,0)</f>
        <v>0</v>
      </c>
      <c r="Z50" s="22">
        <f>IF(AND(Z$4&gt;=$D50,Z$4&lt;=$E50),1,0)</f>
        <v>0</v>
      </c>
      <c r="AA50" s="22">
        <f>IF(AND(AA$4&gt;=$D50,AA$4&lt;=$E50),1,0)</f>
        <v>0</v>
      </c>
      <c r="AB50" s="22">
        <f>IF(AND(AB$4&gt;=$D50,AB$4&lt;=$E50),1,0)</f>
        <v>1</v>
      </c>
      <c r="AC50" s="22">
        <f>IF(AND(AC$4&gt;=$D50,AC$4&lt;=$E50),1,0)</f>
        <v>1</v>
      </c>
      <c r="AD50" s="22">
        <f>IF(AND(AD$4&gt;=$D50,AD$4&lt;=$E50),1,0)</f>
        <v>0</v>
      </c>
      <c r="AE50" s="22">
        <f>IF(AND(AE$4&gt;=$D50,AE$4&lt;=$E50),1,0)</f>
        <v>0</v>
      </c>
      <c r="AF50" s="22">
        <f>IF(AND(AF$4&gt;=$D50,AF$4&lt;=$E50),1,0)</f>
        <v>0</v>
      </c>
      <c r="AG50" s="22">
        <f>IF(AND(AG$4&gt;=$D50,AG$4&lt;=$E50),1,0)</f>
        <v>0</v>
      </c>
      <c r="AH50" s="22">
        <f>IF(AND(AH$4&gt;=$D50,AH$4&lt;=$E50),1,0)</f>
        <v>0</v>
      </c>
      <c r="AI50" s="22">
        <f>IF(AND(AI$4&gt;=$D50,AI$4&lt;=$E50),1,0)</f>
        <v>0</v>
      </c>
      <c r="AJ50" s="22">
        <f>IF(AND(AJ$4&gt;=$D50,AJ$4&lt;=$E50),1,0)</f>
        <v>0</v>
      </c>
      <c r="AK50" s="22">
        <f>IF(AND(AK$4&gt;=$D50,AK$4&lt;=$E50),1,0)</f>
        <v>0</v>
      </c>
      <c r="AL50" s="22">
        <f>IF(AND(AL$4&gt;=$D50,AL$4&lt;=$E50),1,0)</f>
        <v>0</v>
      </c>
      <c r="AM50" s="22">
        <f>IF(AND(AM$4&gt;=$D50,AM$4&lt;=$E50),1,0)</f>
        <v>0</v>
      </c>
      <c r="AN50" s="22">
        <f>IF(AND(AN$4&gt;=$D50,AN$4&lt;=$E50),1,0)</f>
        <v>0</v>
      </c>
      <c r="AO50" s="22">
        <f>IF(AND(AO$4&gt;=$D50,AO$4&lt;=$E50),1,0)</f>
        <v>0</v>
      </c>
    </row>
    <row r="51" ht="30" customHeight="1">
      <c r="A51" s="11" t="inlineStr">
        <is>
          <t>T12-SV</t>
        </is>
      </c>
      <c r="B51" s="11" t="inlineStr">
        <is>
          <t>Reconnect, map handoff và crash recovery</t>
        </is>
      </c>
      <c r="C51" s="11" t="inlineStr">
        <is>
          <t>SV</t>
        </is>
      </c>
      <c r="D51" s="11">
        <f>'13_WBS'!G51</f>
        <v>23</v>
      </c>
      <c r="E51" s="11">
        <f>'13_WBS'!H51</f>
        <v>24</v>
      </c>
      <c r="F51" s="21">
        <f>IF(AND(F$4&gt;=$D51,F$4&lt;=$E51),1,0)</f>
        <v>0</v>
      </c>
      <c r="G51" s="21">
        <f>IF(AND(G$4&gt;=$D51,G$4&lt;=$E51),1,0)</f>
        <v>0</v>
      </c>
      <c r="H51" s="21">
        <f>IF(AND(H$4&gt;=$D51,H$4&lt;=$E51),1,0)</f>
        <v>0</v>
      </c>
      <c r="I51" s="21">
        <f>IF(AND(I$4&gt;=$D51,I$4&lt;=$E51),1,0)</f>
        <v>0</v>
      </c>
      <c r="J51" s="21">
        <f>IF(AND(J$4&gt;=$D51,J$4&lt;=$E51),1,0)</f>
        <v>0</v>
      </c>
      <c r="K51" s="21">
        <f>IF(AND(K$4&gt;=$D51,K$4&lt;=$E51),1,0)</f>
        <v>0</v>
      </c>
      <c r="L51" s="21">
        <f>IF(AND(L$4&gt;=$D51,L$4&lt;=$E51),1,0)</f>
        <v>0</v>
      </c>
      <c r="M51" s="21">
        <f>IF(AND(M$4&gt;=$D51,M$4&lt;=$E51),1,0)</f>
        <v>0</v>
      </c>
      <c r="N51" s="21">
        <f>IF(AND(N$4&gt;=$D51,N$4&lt;=$E51),1,0)</f>
        <v>0</v>
      </c>
      <c r="O51" s="21">
        <f>IF(AND(O$4&gt;=$D51,O$4&lt;=$E51),1,0)</f>
        <v>0</v>
      </c>
      <c r="P51" s="21">
        <f>IF(AND(P$4&gt;=$D51,P$4&lt;=$E51),1,0)</f>
        <v>0</v>
      </c>
      <c r="Q51" s="21">
        <f>IF(AND(Q$4&gt;=$D51,Q$4&lt;=$E51),1,0)</f>
        <v>0</v>
      </c>
      <c r="R51" s="21">
        <f>IF(AND(R$4&gt;=$D51,R$4&lt;=$E51),1,0)</f>
        <v>0</v>
      </c>
      <c r="S51" s="21">
        <f>IF(AND(S$4&gt;=$D51,S$4&lt;=$E51),1,0)</f>
        <v>0</v>
      </c>
      <c r="T51" s="21">
        <f>IF(AND(T$4&gt;=$D51,T$4&lt;=$E51),1,0)</f>
        <v>0</v>
      </c>
      <c r="U51" s="21">
        <f>IF(AND(U$4&gt;=$D51,U$4&lt;=$E51),1,0)</f>
        <v>0</v>
      </c>
      <c r="V51" s="21">
        <f>IF(AND(V$4&gt;=$D51,V$4&lt;=$E51),1,0)</f>
        <v>0</v>
      </c>
      <c r="W51" s="21">
        <f>IF(AND(W$4&gt;=$D51,W$4&lt;=$E51),1,0)</f>
        <v>0</v>
      </c>
      <c r="X51" s="21">
        <f>IF(AND(X$4&gt;=$D51,X$4&lt;=$E51),1,0)</f>
        <v>0</v>
      </c>
      <c r="Y51" s="21">
        <f>IF(AND(Y$4&gt;=$D51,Y$4&lt;=$E51),1,0)</f>
        <v>0</v>
      </c>
      <c r="Z51" s="21">
        <f>IF(AND(Z$4&gt;=$D51,Z$4&lt;=$E51),1,0)</f>
        <v>0</v>
      </c>
      <c r="AA51" s="21">
        <f>IF(AND(AA$4&gt;=$D51,AA$4&lt;=$E51),1,0)</f>
        <v>0</v>
      </c>
      <c r="AB51" s="21">
        <f>IF(AND(AB$4&gt;=$D51,AB$4&lt;=$E51),1,0)</f>
        <v>1</v>
      </c>
      <c r="AC51" s="21">
        <f>IF(AND(AC$4&gt;=$D51,AC$4&lt;=$E51),1,0)</f>
        <v>1</v>
      </c>
      <c r="AD51" s="21">
        <f>IF(AND(AD$4&gt;=$D51,AD$4&lt;=$E51),1,0)</f>
        <v>0</v>
      </c>
      <c r="AE51" s="21">
        <f>IF(AND(AE$4&gt;=$D51,AE$4&lt;=$E51),1,0)</f>
        <v>0</v>
      </c>
      <c r="AF51" s="21">
        <f>IF(AND(AF$4&gt;=$D51,AF$4&lt;=$E51),1,0)</f>
        <v>0</v>
      </c>
      <c r="AG51" s="21">
        <f>IF(AND(AG$4&gt;=$D51,AG$4&lt;=$E51),1,0)</f>
        <v>0</v>
      </c>
      <c r="AH51" s="21">
        <f>IF(AND(AH$4&gt;=$D51,AH$4&lt;=$E51),1,0)</f>
        <v>0</v>
      </c>
      <c r="AI51" s="21">
        <f>IF(AND(AI$4&gt;=$D51,AI$4&lt;=$E51),1,0)</f>
        <v>0</v>
      </c>
      <c r="AJ51" s="21">
        <f>IF(AND(AJ$4&gt;=$D51,AJ$4&lt;=$E51),1,0)</f>
        <v>0</v>
      </c>
      <c r="AK51" s="21">
        <f>IF(AND(AK$4&gt;=$D51,AK$4&lt;=$E51),1,0)</f>
        <v>0</v>
      </c>
      <c r="AL51" s="21">
        <f>IF(AND(AL$4&gt;=$D51,AL$4&lt;=$E51),1,0)</f>
        <v>0</v>
      </c>
      <c r="AM51" s="21">
        <f>IF(AND(AM$4&gt;=$D51,AM$4&lt;=$E51),1,0)</f>
        <v>0</v>
      </c>
      <c r="AN51" s="21">
        <f>IF(AND(AN$4&gt;=$D51,AN$4&lt;=$E51),1,0)</f>
        <v>0</v>
      </c>
      <c r="AO51" s="21">
        <f>IF(AND(AO$4&gt;=$D51,AO$4&lt;=$E51),1,0)</f>
        <v>0</v>
      </c>
    </row>
    <row r="52" ht="30" customHeight="1">
      <c r="A52" s="12" t="inlineStr">
        <is>
          <t>T12-AR</t>
        </is>
      </c>
      <c r="B52" s="12" t="inlineStr">
        <is>
          <t>Map phụ bản và boss blockout</t>
        </is>
      </c>
      <c r="C52" s="12" t="inlineStr">
        <is>
          <t>AR</t>
        </is>
      </c>
      <c r="D52" s="12">
        <f>'13_WBS'!G52</f>
        <v>23</v>
      </c>
      <c r="E52" s="12">
        <f>'13_WBS'!H52</f>
        <v>24</v>
      </c>
      <c r="F52" s="22">
        <f>IF(AND(F$4&gt;=$D52,F$4&lt;=$E52),1,0)</f>
        <v>0</v>
      </c>
      <c r="G52" s="22">
        <f>IF(AND(G$4&gt;=$D52,G$4&lt;=$E52),1,0)</f>
        <v>0</v>
      </c>
      <c r="H52" s="22">
        <f>IF(AND(H$4&gt;=$D52,H$4&lt;=$E52),1,0)</f>
        <v>0</v>
      </c>
      <c r="I52" s="22">
        <f>IF(AND(I$4&gt;=$D52,I$4&lt;=$E52),1,0)</f>
        <v>0</v>
      </c>
      <c r="J52" s="22">
        <f>IF(AND(J$4&gt;=$D52,J$4&lt;=$E52),1,0)</f>
        <v>0</v>
      </c>
      <c r="K52" s="22">
        <f>IF(AND(K$4&gt;=$D52,K$4&lt;=$E52),1,0)</f>
        <v>0</v>
      </c>
      <c r="L52" s="22">
        <f>IF(AND(L$4&gt;=$D52,L$4&lt;=$E52),1,0)</f>
        <v>0</v>
      </c>
      <c r="M52" s="22">
        <f>IF(AND(M$4&gt;=$D52,M$4&lt;=$E52),1,0)</f>
        <v>0</v>
      </c>
      <c r="N52" s="22">
        <f>IF(AND(N$4&gt;=$D52,N$4&lt;=$E52),1,0)</f>
        <v>0</v>
      </c>
      <c r="O52" s="22">
        <f>IF(AND(O$4&gt;=$D52,O$4&lt;=$E52),1,0)</f>
        <v>0</v>
      </c>
      <c r="P52" s="22">
        <f>IF(AND(P$4&gt;=$D52,P$4&lt;=$E52),1,0)</f>
        <v>0</v>
      </c>
      <c r="Q52" s="22">
        <f>IF(AND(Q$4&gt;=$D52,Q$4&lt;=$E52),1,0)</f>
        <v>0</v>
      </c>
      <c r="R52" s="22">
        <f>IF(AND(R$4&gt;=$D52,R$4&lt;=$E52),1,0)</f>
        <v>0</v>
      </c>
      <c r="S52" s="22">
        <f>IF(AND(S$4&gt;=$D52,S$4&lt;=$E52),1,0)</f>
        <v>0</v>
      </c>
      <c r="T52" s="22">
        <f>IF(AND(T$4&gt;=$D52,T$4&lt;=$E52),1,0)</f>
        <v>0</v>
      </c>
      <c r="U52" s="22">
        <f>IF(AND(U$4&gt;=$D52,U$4&lt;=$E52),1,0)</f>
        <v>0</v>
      </c>
      <c r="V52" s="22">
        <f>IF(AND(V$4&gt;=$D52,V$4&lt;=$E52),1,0)</f>
        <v>0</v>
      </c>
      <c r="W52" s="22">
        <f>IF(AND(W$4&gt;=$D52,W$4&lt;=$E52),1,0)</f>
        <v>0</v>
      </c>
      <c r="X52" s="22">
        <f>IF(AND(X$4&gt;=$D52,X$4&lt;=$E52),1,0)</f>
        <v>0</v>
      </c>
      <c r="Y52" s="22">
        <f>IF(AND(Y$4&gt;=$D52,Y$4&lt;=$E52),1,0)</f>
        <v>0</v>
      </c>
      <c r="Z52" s="22">
        <f>IF(AND(Z$4&gt;=$D52,Z$4&lt;=$E52),1,0)</f>
        <v>0</v>
      </c>
      <c r="AA52" s="22">
        <f>IF(AND(AA$4&gt;=$D52,AA$4&lt;=$E52),1,0)</f>
        <v>0</v>
      </c>
      <c r="AB52" s="22">
        <f>IF(AND(AB$4&gt;=$D52,AB$4&lt;=$E52),1,0)</f>
        <v>1</v>
      </c>
      <c r="AC52" s="22">
        <f>IF(AND(AC$4&gt;=$D52,AC$4&lt;=$E52),1,0)</f>
        <v>1</v>
      </c>
      <c r="AD52" s="22">
        <f>IF(AND(AD$4&gt;=$D52,AD$4&lt;=$E52),1,0)</f>
        <v>0</v>
      </c>
      <c r="AE52" s="22">
        <f>IF(AND(AE$4&gt;=$D52,AE$4&lt;=$E52),1,0)</f>
        <v>0</v>
      </c>
      <c r="AF52" s="22">
        <f>IF(AND(AF$4&gt;=$D52,AF$4&lt;=$E52),1,0)</f>
        <v>0</v>
      </c>
      <c r="AG52" s="22">
        <f>IF(AND(AG$4&gt;=$D52,AG$4&lt;=$E52),1,0)</f>
        <v>0</v>
      </c>
      <c r="AH52" s="22">
        <f>IF(AND(AH$4&gt;=$D52,AH$4&lt;=$E52),1,0)</f>
        <v>0</v>
      </c>
      <c r="AI52" s="22">
        <f>IF(AND(AI$4&gt;=$D52,AI$4&lt;=$E52),1,0)</f>
        <v>0</v>
      </c>
      <c r="AJ52" s="22">
        <f>IF(AND(AJ$4&gt;=$D52,AJ$4&lt;=$E52),1,0)</f>
        <v>0</v>
      </c>
      <c r="AK52" s="22">
        <f>IF(AND(AK$4&gt;=$D52,AK$4&lt;=$E52),1,0)</f>
        <v>0</v>
      </c>
      <c r="AL52" s="22">
        <f>IF(AND(AL$4&gt;=$D52,AL$4&lt;=$E52),1,0)</f>
        <v>0</v>
      </c>
      <c r="AM52" s="22">
        <f>IF(AND(AM$4&gt;=$D52,AM$4&lt;=$E52),1,0)</f>
        <v>0</v>
      </c>
      <c r="AN52" s="22">
        <f>IF(AND(AN$4&gt;=$D52,AN$4&lt;=$E52),1,0)</f>
        <v>0</v>
      </c>
      <c r="AO52" s="22">
        <f>IF(AND(AO$4&gt;=$D52,AO$4&lt;=$E52),1,0)</f>
        <v>0</v>
      </c>
    </row>
    <row r="53" ht="30" customHeight="1">
      <c r="A53" s="11" t="inlineStr">
        <is>
          <t>T13-GD</t>
        </is>
      </c>
      <c r="B53" s="11" t="inlineStr">
        <is>
          <t>Thiết kế party/boss/arena và QA matrix</t>
        </is>
      </c>
      <c r="C53" s="11" t="inlineStr">
        <is>
          <t>GD</t>
        </is>
      </c>
      <c r="D53" s="11">
        <f>'13_WBS'!G53</f>
        <v>25</v>
      </c>
      <c r="E53" s="11">
        <f>'13_WBS'!H53</f>
        <v>26</v>
      </c>
      <c r="F53" s="21">
        <f>IF(AND(F$4&gt;=$D53,F$4&lt;=$E53),1,0)</f>
        <v>0</v>
      </c>
      <c r="G53" s="21">
        <f>IF(AND(G$4&gt;=$D53,G$4&lt;=$E53),1,0)</f>
        <v>0</v>
      </c>
      <c r="H53" s="21">
        <f>IF(AND(H$4&gt;=$D53,H$4&lt;=$E53),1,0)</f>
        <v>0</v>
      </c>
      <c r="I53" s="21">
        <f>IF(AND(I$4&gt;=$D53,I$4&lt;=$E53),1,0)</f>
        <v>0</v>
      </c>
      <c r="J53" s="21">
        <f>IF(AND(J$4&gt;=$D53,J$4&lt;=$E53),1,0)</f>
        <v>0</v>
      </c>
      <c r="K53" s="21">
        <f>IF(AND(K$4&gt;=$D53,K$4&lt;=$E53),1,0)</f>
        <v>0</v>
      </c>
      <c r="L53" s="21">
        <f>IF(AND(L$4&gt;=$D53,L$4&lt;=$E53),1,0)</f>
        <v>0</v>
      </c>
      <c r="M53" s="21">
        <f>IF(AND(M$4&gt;=$D53,M$4&lt;=$E53),1,0)</f>
        <v>0</v>
      </c>
      <c r="N53" s="21">
        <f>IF(AND(N$4&gt;=$D53,N$4&lt;=$E53),1,0)</f>
        <v>0</v>
      </c>
      <c r="O53" s="21">
        <f>IF(AND(O$4&gt;=$D53,O$4&lt;=$E53),1,0)</f>
        <v>0</v>
      </c>
      <c r="P53" s="21">
        <f>IF(AND(P$4&gt;=$D53,P$4&lt;=$E53),1,0)</f>
        <v>0</v>
      </c>
      <c r="Q53" s="21">
        <f>IF(AND(Q$4&gt;=$D53,Q$4&lt;=$E53),1,0)</f>
        <v>0</v>
      </c>
      <c r="R53" s="21">
        <f>IF(AND(R$4&gt;=$D53,R$4&lt;=$E53),1,0)</f>
        <v>0</v>
      </c>
      <c r="S53" s="21">
        <f>IF(AND(S$4&gt;=$D53,S$4&lt;=$E53),1,0)</f>
        <v>0</v>
      </c>
      <c r="T53" s="21">
        <f>IF(AND(T$4&gt;=$D53,T$4&lt;=$E53),1,0)</f>
        <v>0</v>
      </c>
      <c r="U53" s="21">
        <f>IF(AND(U$4&gt;=$D53,U$4&lt;=$E53),1,0)</f>
        <v>0</v>
      </c>
      <c r="V53" s="21">
        <f>IF(AND(V$4&gt;=$D53,V$4&lt;=$E53),1,0)</f>
        <v>0</v>
      </c>
      <c r="W53" s="21">
        <f>IF(AND(W$4&gt;=$D53,W$4&lt;=$E53),1,0)</f>
        <v>0</v>
      </c>
      <c r="X53" s="21">
        <f>IF(AND(X$4&gt;=$D53,X$4&lt;=$E53),1,0)</f>
        <v>0</v>
      </c>
      <c r="Y53" s="21">
        <f>IF(AND(Y$4&gt;=$D53,Y$4&lt;=$E53),1,0)</f>
        <v>0</v>
      </c>
      <c r="Z53" s="21">
        <f>IF(AND(Z$4&gt;=$D53,Z$4&lt;=$E53),1,0)</f>
        <v>0</v>
      </c>
      <c r="AA53" s="21">
        <f>IF(AND(AA$4&gt;=$D53,AA$4&lt;=$E53),1,0)</f>
        <v>0</v>
      </c>
      <c r="AB53" s="21">
        <f>IF(AND(AB$4&gt;=$D53,AB$4&lt;=$E53),1,0)</f>
        <v>0</v>
      </c>
      <c r="AC53" s="21">
        <f>IF(AND(AC$4&gt;=$D53,AC$4&lt;=$E53),1,0)</f>
        <v>0</v>
      </c>
      <c r="AD53" s="21">
        <f>IF(AND(AD$4&gt;=$D53,AD$4&lt;=$E53),1,0)</f>
        <v>1</v>
      </c>
      <c r="AE53" s="21">
        <f>IF(AND(AE$4&gt;=$D53,AE$4&lt;=$E53),1,0)</f>
        <v>1</v>
      </c>
      <c r="AF53" s="21">
        <f>IF(AND(AF$4&gt;=$D53,AF$4&lt;=$E53),1,0)</f>
        <v>0</v>
      </c>
      <c r="AG53" s="21">
        <f>IF(AND(AG$4&gt;=$D53,AG$4&lt;=$E53),1,0)</f>
        <v>0</v>
      </c>
      <c r="AH53" s="21">
        <f>IF(AND(AH$4&gt;=$D53,AH$4&lt;=$E53),1,0)</f>
        <v>0</v>
      </c>
      <c r="AI53" s="21">
        <f>IF(AND(AI$4&gt;=$D53,AI$4&lt;=$E53),1,0)</f>
        <v>0</v>
      </c>
      <c r="AJ53" s="21">
        <f>IF(AND(AJ$4&gt;=$D53,AJ$4&lt;=$E53),1,0)</f>
        <v>0</v>
      </c>
      <c r="AK53" s="21">
        <f>IF(AND(AK$4&gt;=$D53,AK$4&lt;=$E53),1,0)</f>
        <v>0</v>
      </c>
      <c r="AL53" s="21">
        <f>IF(AND(AL$4&gt;=$D53,AL$4&lt;=$E53),1,0)</f>
        <v>0</v>
      </c>
      <c r="AM53" s="21">
        <f>IF(AND(AM$4&gt;=$D53,AM$4&lt;=$E53),1,0)</f>
        <v>0</v>
      </c>
      <c r="AN53" s="21">
        <f>IF(AND(AN$4&gt;=$D53,AN$4&lt;=$E53),1,0)</f>
        <v>0</v>
      </c>
      <c r="AO53" s="21">
        <f>IF(AND(AO$4&gt;=$D53,AO$4&lt;=$E53),1,0)</f>
        <v>0</v>
      </c>
    </row>
    <row r="54" ht="30" customHeight="1">
      <c r="A54" s="12" t="inlineStr">
        <is>
          <t>T13-CL</t>
        </is>
      </c>
      <c r="B54" s="12" t="inlineStr">
        <is>
          <t>Party và chat khu vực/party</t>
        </is>
      </c>
      <c r="C54" s="12" t="inlineStr">
        <is>
          <t>CL</t>
        </is>
      </c>
      <c r="D54" s="12">
        <f>'13_WBS'!G54</f>
        <v>25</v>
      </c>
      <c r="E54" s="12">
        <f>'13_WBS'!H54</f>
        <v>26</v>
      </c>
      <c r="F54" s="22">
        <f>IF(AND(F$4&gt;=$D54,F$4&lt;=$E54),1,0)</f>
        <v>0</v>
      </c>
      <c r="G54" s="22">
        <f>IF(AND(G$4&gt;=$D54,G$4&lt;=$E54),1,0)</f>
        <v>0</v>
      </c>
      <c r="H54" s="22">
        <f>IF(AND(H$4&gt;=$D54,H$4&lt;=$E54),1,0)</f>
        <v>0</v>
      </c>
      <c r="I54" s="22">
        <f>IF(AND(I$4&gt;=$D54,I$4&lt;=$E54),1,0)</f>
        <v>0</v>
      </c>
      <c r="J54" s="22">
        <f>IF(AND(J$4&gt;=$D54,J$4&lt;=$E54),1,0)</f>
        <v>0</v>
      </c>
      <c r="K54" s="22">
        <f>IF(AND(K$4&gt;=$D54,K$4&lt;=$E54),1,0)</f>
        <v>0</v>
      </c>
      <c r="L54" s="22">
        <f>IF(AND(L$4&gt;=$D54,L$4&lt;=$E54),1,0)</f>
        <v>0</v>
      </c>
      <c r="M54" s="22">
        <f>IF(AND(M$4&gt;=$D54,M$4&lt;=$E54),1,0)</f>
        <v>0</v>
      </c>
      <c r="N54" s="22">
        <f>IF(AND(N$4&gt;=$D54,N$4&lt;=$E54),1,0)</f>
        <v>0</v>
      </c>
      <c r="O54" s="22">
        <f>IF(AND(O$4&gt;=$D54,O$4&lt;=$E54),1,0)</f>
        <v>0</v>
      </c>
      <c r="P54" s="22">
        <f>IF(AND(P$4&gt;=$D54,P$4&lt;=$E54),1,0)</f>
        <v>0</v>
      </c>
      <c r="Q54" s="22">
        <f>IF(AND(Q$4&gt;=$D54,Q$4&lt;=$E54),1,0)</f>
        <v>0</v>
      </c>
      <c r="R54" s="22">
        <f>IF(AND(R$4&gt;=$D54,R$4&lt;=$E54),1,0)</f>
        <v>0</v>
      </c>
      <c r="S54" s="22">
        <f>IF(AND(S$4&gt;=$D54,S$4&lt;=$E54),1,0)</f>
        <v>0</v>
      </c>
      <c r="T54" s="22">
        <f>IF(AND(T$4&gt;=$D54,T$4&lt;=$E54),1,0)</f>
        <v>0</v>
      </c>
      <c r="U54" s="22">
        <f>IF(AND(U$4&gt;=$D54,U$4&lt;=$E54),1,0)</f>
        <v>0</v>
      </c>
      <c r="V54" s="22">
        <f>IF(AND(V$4&gt;=$D54,V$4&lt;=$E54),1,0)</f>
        <v>0</v>
      </c>
      <c r="W54" s="22">
        <f>IF(AND(W$4&gt;=$D54,W$4&lt;=$E54),1,0)</f>
        <v>0</v>
      </c>
      <c r="X54" s="22">
        <f>IF(AND(X$4&gt;=$D54,X$4&lt;=$E54),1,0)</f>
        <v>0</v>
      </c>
      <c r="Y54" s="22">
        <f>IF(AND(Y$4&gt;=$D54,Y$4&lt;=$E54),1,0)</f>
        <v>0</v>
      </c>
      <c r="Z54" s="22">
        <f>IF(AND(Z$4&gt;=$D54,Z$4&lt;=$E54),1,0)</f>
        <v>0</v>
      </c>
      <c r="AA54" s="22">
        <f>IF(AND(AA$4&gt;=$D54,AA$4&lt;=$E54),1,0)</f>
        <v>0</v>
      </c>
      <c r="AB54" s="22">
        <f>IF(AND(AB$4&gt;=$D54,AB$4&lt;=$E54),1,0)</f>
        <v>0</v>
      </c>
      <c r="AC54" s="22">
        <f>IF(AND(AC$4&gt;=$D54,AC$4&lt;=$E54),1,0)</f>
        <v>0</v>
      </c>
      <c r="AD54" s="22">
        <f>IF(AND(AD$4&gt;=$D54,AD$4&lt;=$E54),1,0)</f>
        <v>1</v>
      </c>
      <c r="AE54" s="22">
        <f>IF(AND(AE$4&gt;=$D54,AE$4&lt;=$E54),1,0)</f>
        <v>1</v>
      </c>
      <c r="AF54" s="22">
        <f>IF(AND(AF$4&gt;=$D54,AF$4&lt;=$E54),1,0)</f>
        <v>0</v>
      </c>
      <c r="AG54" s="22">
        <f>IF(AND(AG$4&gt;=$D54,AG$4&lt;=$E54),1,0)</f>
        <v>0</v>
      </c>
      <c r="AH54" s="22">
        <f>IF(AND(AH$4&gt;=$D54,AH$4&lt;=$E54),1,0)</f>
        <v>0</v>
      </c>
      <c r="AI54" s="22">
        <f>IF(AND(AI$4&gt;=$D54,AI$4&lt;=$E54),1,0)</f>
        <v>0</v>
      </c>
      <c r="AJ54" s="22">
        <f>IF(AND(AJ$4&gt;=$D54,AJ$4&lt;=$E54),1,0)</f>
        <v>0</v>
      </c>
      <c r="AK54" s="22">
        <f>IF(AND(AK$4&gt;=$D54,AK$4&lt;=$E54),1,0)</f>
        <v>0</v>
      </c>
      <c r="AL54" s="22">
        <f>IF(AND(AL$4&gt;=$D54,AL$4&lt;=$E54),1,0)</f>
        <v>0</v>
      </c>
      <c r="AM54" s="22">
        <f>IF(AND(AM$4&gt;=$D54,AM$4&lt;=$E54),1,0)</f>
        <v>0</v>
      </c>
      <c r="AN54" s="22">
        <f>IF(AND(AN$4&gt;=$D54,AN$4&lt;=$E54),1,0)</f>
        <v>0</v>
      </c>
      <c r="AO54" s="22">
        <f>IF(AND(AO$4&gt;=$D54,AO$4&lt;=$E54),1,0)</f>
        <v>0</v>
      </c>
    </row>
    <row r="55" ht="30" customHeight="1">
      <c r="A55" s="11" t="inlineStr">
        <is>
          <t>T13-SV</t>
        </is>
      </c>
      <c r="B55" s="11" t="inlineStr">
        <is>
          <t>Party state và chat có giới hạn</t>
        </is>
      </c>
      <c r="C55" s="11" t="inlineStr">
        <is>
          <t>SV</t>
        </is>
      </c>
      <c r="D55" s="11">
        <f>'13_WBS'!G55</f>
        <v>25</v>
      </c>
      <c r="E55" s="11">
        <f>'13_WBS'!H55</f>
        <v>26</v>
      </c>
      <c r="F55" s="21">
        <f>IF(AND(F$4&gt;=$D55,F$4&lt;=$E55),1,0)</f>
        <v>0</v>
      </c>
      <c r="G55" s="21">
        <f>IF(AND(G$4&gt;=$D55,G$4&lt;=$E55),1,0)</f>
        <v>0</v>
      </c>
      <c r="H55" s="21">
        <f>IF(AND(H$4&gt;=$D55,H$4&lt;=$E55),1,0)</f>
        <v>0</v>
      </c>
      <c r="I55" s="21">
        <f>IF(AND(I$4&gt;=$D55,I$4&lt;=$E55),1,0)</f>
        <v>0</v>
      </c>
      <c r="J55" s="21">
        <f>IF(AND(J$4&gt;=$D55,J$4&lt;=$E55),1,0)</f>
        <v>0</v>
      </c>
      <c r="K55" s="21">
        <f>IF(AND(K$4&gt;=$D55,K$4&lt;=$E55),1,0)</f>
        <v>0</v>
      </c>
      <c r="L55" s="21">
        <f>IF(AND(L$4&gt;=$D55,L$4&lt;=$E55),1,0)</f>
        <v>0</v>
      </c>
      <c r="M55" s="21">
        <f>IF(AND(M$4&gt;=$D55,M$4&lt;=$E55),1,0)</f>
        <v>0</v>
      </c>
      <c r="N55" s="21">
        <f>IF(AND(N$4&gt;=$D55,N$4&lt;=$E55),1,0)</f>
        <v>0</v>
      </c>
      <c r="O55" s="21">
        <f>IF(AND(O$4&gt;=$D55,O$4&lt;=$E55),1,0)</f>
        <v>0</v>
      </c>
      <c r="P55" s="21">
        <f>IF(AND(P$4&gt;=$D55,P$4&lt;=$E55),1,0)</f>
        <v>0</v>
      </c>
      <c r="Q55" s="21">
        <f>IF(AND(Q$4&gt;=$D55,Q$4&lt;=$E55),1,0)</f>
        <v>0</v>
      </c>
      <c r="R55" s="21">
        <f>IF(AND(R$4&gt;=$D55,R$4&lt;=$E55),1,0)</f>
        <v>0</v>
      </c>
      <c r="S55" s="21">
        <f>IF(AND(S$4&gt;=$D55,S$4&lt;=$E55),1,0)</f>
        <v>0</v>
      </c>
      <c r="T55" s="21">
        <f>IF(AND(T$4&gt;=$D55,T$4&lt;=$E55),1,0)</f>
        <v>0</v>
      </c>
      <c r="U55" s="21">
        <f>IF(AND(U$4&gt;=$D55,U$4&lt;=$E55),1,0)</f>
        <v>0</v>
      </c>
      <c r="V55" s="21">
        <f>IF(AND(V$4&gt;=$D55,V$4&lt;=$E55),1,0)</f>
        <v>0</v>
      </c>
      <c r="W55" s="21">
        <f>IF(AND(W$4&gt;=$D55,W$4&lt;=$E55),1,0)</f>
        <v>0</v>
      </c>
      <c r="X55" s="21">
        <f>IF(AND(X$4&gt;=$D55,X$4&lt;=$E55),1,0)</f>
        <v>0</v>
      </c>
      <c r="Y55" s="21">
        <f>IF(AND(Y$4&gt;=$D55,Y$4&lt;=$E55),1,0)</f>
        <v>0</v>
      </c>
      <c r="Z55" s="21">
        <f>IF(AND(Z$4&gt;=$D55,Z$4&lt;=$E55),1,0)</f>
        <v>0</v>
      </c>
      <c r="AA55" s="21">
        <f>IF(AND(AA$4&gt;=$D55,AA$4&lt;=$E55),1,0)</f>
        <v>0</v>
      </c>
      <c r="AB55" s="21">
        <f>IF(AND(AB$4&gt;=$D55,AB$4&lt;=$E55),1,0)</f>
        <v>0</v>
      </c>
      <c r="AC55" s="21">
        <f>IF(AND(AC$4&gt;=$D55,AC$4&lt;=$E55),1,0)</f>
        <v>0</v>
      </c>
      <c r="AD55" s="21">
        <f>IF(AND(AD$4&gt;=$D55,AD$4&lt;=$E55),1,0)</f>
        <v>1</v>
      </c>
      <c r="AE55" s="21">
        <f>IF(AND(AE$4&gt;=$D55,AE$4&lt;=$E55),1,0)</f>
        <v>1</v>
      </c>
      <c r="AF55" s="21">
        <f>IF(AND(AF$4&gt;=$D55,AF$4&lt;=$E55),1,0)</f>
        <v>0</v>
      </c>
      <c r="AG55" s="21">
        <f>IF(AND(AG$4&gt;=$D55,AG$4&lt;=$E55),1,0)</f>
        <v>0</v>
      </c>
      <c r="AH55" s="21">
        <f>IF(AND(AH$4&gt;=$D55,AH$4&lt;=$E55),1,0)</f>
        <v>0</v>
      </c>
      <c r="AI55" s="21">
        <f>IF(AND(AI$4&gt;=$D55,AI$4&lt;=$E55),1,0)</f>
        <v>0</v>
      </c>
      <c r="AJ55" s="21">
        <f>IF(AND(AJ$4&gt;=$D55,AJ$4&lt;=$E55),1,0)</f>
        <v>0</v>
      </c>
      <c r="AK55" s="21">
        <f>IF(AND(AK$4&gt;=$D55,AK$4&lt;=$E55),1,0)</f>
        <v>0</v>
      </c>
      <c r="AL55" s="21">
        <f>IF(AND(AL$4&gt;=$D55,AL$4&lt;=$E55),1,0)</f>
        <v>0</v>
      </c>
      <c r="AM55" s="21">
        <f>IF(AND(AM$4&gt;=$D55,AM$4&lt;=$E55),1,0)</f>
        <v>0</v>
      </c>
      <c r="AN55" s="21">
        <f>IF(AND(AN$4&gt;=$D55,AN$4&lt;=$E55),1,0)</f>
        <v>0</v>
      </c>
      <c r="AO55" s="21">
        <f>IF(AND(AO$4&gt;=$D55,AO$4&lt;=$E55),1,0)</f>
        <v>0</v>
      </c>
    </row>
    <row r="56" ht="30" customHeight="1">
      <c r="A56" s="12" t="inlineStr">
        <is>
          <t>T13-AR</t>
        </is>
      </c>
      <c r="B56" s="12" t="inlineStr">
        <is>
          <t>Sprite boss và quái tinh anh</t>
        </is>
      </c>
      <c r="C56" s="12" t="inlineStr">
        <is>
          <t>AR</t>
        </is>
      </c>
      <c r="D56" s="12">
        <f>'13_WBS'!G56</f>
        <v>25</v>
      </c>
      <c r="E56" s="12">
        <f>'13_WBS'!H56</f>
        <v>26</v>
      </c>
      <c r="F56" s="22">
        <f>IF(AND(F$4&gt;=$D56,F$4&lt;=$E56),1,0)</f>
        <v>0</v>
      </c>
      <c r="G56" s="22">
        <f>IF(AND(G$4&gt;=$D56,G$4&lt;=$E56),1,0)</f>
        <v>0</v>
      </c>
      <c r="H56" s="22">
        <f>IF(AND(H$4&gt;=$D56,H$4&lt;=$E56),1,0)</f>
        <v>0</v>
      </c>
      <c r="I56" s="22">
        <f>IF(AND(I$4&gt;=$D56,I$4&lt;=$E56),1,0)</f>
        <v>0</v>
      </c>
      <c r="J56" s="22">
        <f>IF(AND(J$4&gt;=$D56,J$4&lt;=$E56),1,0)</f>
        <v>0</v>
      </c>
      <c r="K56" s="22">
        <f>IF(AND(K$4&gt;=$D56,K$4&lt;=$E56),1,0)</f>
        <v>0</v>
      </c>
      <c r="L56" s="22">
        <f>IF(AND(L$4&gt;=$D56,L$4&lt;=$E56),1,0)</f>
        <v>0</v>
      </c>
      <c r="M56" s="22">
        <f>IF(AND(M$4&gt;=$D56,M$4&lt;=$E56),1,0)</f>
        <v>0</v>
      </c>
      <c r="N56" s="22">
        <f>IF(AND(N$4&gt;=$D56,N$4&lt;=$E56),1,0)</f>
        <v>0</v>
      </c>
      <c r="O56" s="22">
        <f>IF(AND(O$4&gt;=$D56,O$4&lt;=$E56),1,0)</f>
        <v>0</v>
      </c>
      <c r="P56" s="22">
        <f>IF(AND(P$4&gt;=$D56,P$4&lt;=$E56),1,0)</f>
        <v>0</v>
      </c>
      <c r="Q56" s="22">
        <f>IF(AND(Q$4&gt;=$D56,Q$4&lt;=$E56),1,0)</f>
        <v>0</v>
      </c>
      <c r="R56" s="22">
        <f>IF(AND(R$4&gt;=$D56,R$4&lt;=$E56),1,0)</f>
        <v>0</v>
      </c>
      <c r="S56" s="22">
        <f>IF(AND(S$4&gt;=$D56,S$4&lt;=$E56),1,0)</f>
        <v>0</v>
      </c>
      <c r="T56" s="22">
        <f>IF(AND(T$4&gt;=$D56,T$4&lt;=$E56),1,0)</f>
        <v>0</v>
      </c>
      <c r="U56" s="22">
        <f>IF(AND(U$4&gt;=$D56,U$4&lt;=$E56),1,0)</f>
        <v>0</v>
      </c>
      <c r="V56" s="22">
        <f>IF(AND(V$4&gt;=$D56,V$4&lt;=$E56),1,0)</f>
        <v>0</v>
      </c>
      <c r="W56" s="22">
        <f>IF(AND(W$4&gt;=$D56,W$4&lt;=$E56),1,0)</f>
        <v>0</v>
      </c>
      <c r="X56" s="22">
        <f>IF(AND(X$4&gt;=$D56,X$4&lt;=$E56),1,0)</f>
        <v>0</v>
      </c>
      <c r="Y56" s="22">
        <f>IF(AND(Y$4&gt;=$D56,Y$4&lt;=$E56),1,0)</f>
        <v>0</v>
      </c>
      <c r="Z56" s="22">
        <f>IF(AND(Z$4&gt;=$D56,Z$4&lt;=$E56),1,0)</f>
        <v>0</v>
      </c>
      <c r="AA56" s="22">
        <f>IF(AND(AA$4&gt;=$D56,AA$4&lt;=$E56),1,0)</f>
        <v>0</v>
      </c>
      <c r="AB56" s="22">
        <f>IF(AND(AB$4&gt;=$D56,AB$4&lt;=$E56),1,0)</f>
        <v>0</v>
      </c>
      <c r="AC56" s="22">
        <f>IF(AND(AC$4&gt;=$D56,AC$4&lt;=$E56),1,0)</f>
        <v>0</v>
      </c>
      <c r="AD56" s="22">
        <f>IF(AND(AD$4&gt;=$D56,AD$4&lt;=$E56),1,0)</f>
        <v>1</v>
      </c>
      <c r="AE56" s="22">
        <f>IF(AND(AE$4&gt;=$D56,AE$4&lt;=$E56),1,0)</f>
        <v>1</v>
      </c>
      <c r="AF56" s="22">
        <f>IF(AND(AF$4&gt;=$D56,AF$4&lt;=$E56),1,0)</f>
        <v>0</v>
      </c>
      <c r="AG56" s="22">
        <f>IF(AND(AG$4&gt;=$D56,AG$4&lt;=$E56),1,0)</f>
        <v>0</v>
      </c>
      <c r="AH56" s="22">
        <f>IF(AND(AH$4&gt;=$D56,AH$4&lt;=$E56),1,0)</f>
        <v>0</v>
      </c>
      <c r="AI56" s="22">
        <f>IF(AND(AI$4&gt;=$D56,AI$4&lt;=$E56),1,0)</f>
        <v>0</v>
      </c>
      <c r="AJ56" s="22">
        <f>IF(AND(AJ$4&gt;=$D56,AJ$4&lt;=$E56),1,0)</f>
        <v>0</v>
      </c>
      <c r="AK56" s="22">
        <f>IF(AND(AK$4&gt;=$D56,AK$4&lt;=$E56),1,0)</f>
        <v>0</v>
      </c>
      <c r="AL56" s="22">
        <f>IF(AND(AL$4&gt;=$D56,AL$4&lt;=$E56),1,0)</f>
        <v>0</v>
      </c>
      <c r="AM56" s="22">
        <f>IF(AND(AM$4&gt;=$D56,AM$4&lt;=$E56),1,0)</f>
        <v>0</v>
      </c>
      <c r="AN56" s="22">
        <f>IF(AND(AN$4&gt;=$D56,AN$4&lt;=$E56),1,0)</f>
        <v>0</v>
      </c>
      <c r="AO56" s="22">
        <f>IF(AND(AO$4&gt;=$D56,AO$4&lt;=$E56),1,0)</f>
        <v>0</v>
      </c>
    </row>
    <row r="57" ht="30" customHeight="1">
      <c r="A57" s="11" t="inlineStr">
        <is>
          <t>T14-GD</t>
        </is>
      </c>
      <c r="B57" s="11" t="inlineStr">
        <is>
          <t>Kiểm thử phụ bản và reward chống lặp</t>
        </is>
      </c>
      <c r="C57" s="11" t="inlineStr">
        <is>
          <t>GD</t>
        </is>
      </c>
      <c r="D57" s="11">
        <f>'13_WBS'!G57</f>
        <v>27</v>
      </c>
      <c r="E57" s="11">
        <f>'13_WBS'!H57</f>
        <v>28</v>
      </c>
      <c r="F57" s="21">
        <f>IF(AND(F$4&gt;=$D57,F$4&lt;=$E57),1,0)</f>
        <v>0</v>
      </c>
      <c r="G57" s="21">
        <f>IF(AND(G$4&gt;=$D57,G$4&lt;=$E57),1,0)</f>
        <v>0</v>
      </c>
      <c r="H57" s="21">
        <f>IF(AND(H$4&gt;=$D57,H$4&lt;=$E57),1,0)</f>
        <v>0</v>
      </c>
      <c r="I57" s="21">
        <f>IF(AND(I$4&gt;=$D57,I$4&lt;=$E57),1,0)</f>
        <v>0</v>
      </c>
      <c r="J57" s="21">
        <f>IF(AND(J$4&gt;=$D57,J$4&lt;=$E57),1,0)</f>
        <v>0</v>
      </c>
      <c r="K57" s="21">
        <f>IF(AND(K$4&gt;=$D57,K$4&lt;=$E57),1,0)</f>
        <v>0</v>
      </c>
      <c r="L57" s="21">
        <f>IF(AND(L$4&gt;=$D57,L$4&lt;=$E57),1,0)</f>
        <v>0</v>
      </c>
      <c r="M57" s="21">
        <f>IF(AND(M$4&gt;=$D57,M$4&lt;=$E57),1,0)</f>
        <v>0</v>
      </c>
      <c r="N57" s="21">
        <f>IF(AND(N$4&gt;=$D57,N$4&lt;=$E57),1,0)</f>
        <v>0</v>
      </c>
      <c r="O57" s="21">
        <f>IF(AND(O$4&gt;=$D57,O$4&lt;=$E57),1,0)</f>
        <v>0</v>
      </c>
      <c r="P57" s="21">
        <f>IF(AND(P$4&gt;=$D57,P$4&lt;=$E57),1,0)</f>
        <v>0</v>
      </c>
      <c r="Q57" s="21">
        <f>IF(AND(Q$4&gt;=$D57,Q$4&lt;=$E57),1,0)</f>
        <v>0</v>
      </c>
      <c r="R57" s="21">
        <f>IF(AND(R$4&gt;=$D57,R$4&lt;=$E57),1,0)</f>
        <v>0</v>
      </c>
      <c r="S57" s="21">
        <f>IF(AND(S$4&gt;=$D57,S$4&lt;=$E57),1,0)</f>
        <v>0</v>
      </c>
      <c r="T57" s="21">
        <f>IF(AND(T$4&gt;=$D57,T$4&lt;=$E57),1,0)</f>
        <v>0</v>
      </c>
      <c r="U57" s="21">
        <f>IF(AND(U$4&gt;=$D57,U$4&lt;=$E57),1,0)</f>
        <v>0</v>
      </c>
      <c r="V57" s="21">
        <f>IF(AND(V$4&gt;=$D57,V$4&lt;=$E57),1,0)</f>
        <v>0</v>
      </c>
      <c r="W57" s="21">
        <f>IF(AND(W$4&gt;=$D57,W$4&lt;=$E57),1,0)</f>
        <v>0</v>
      </c>
      <c r="X57" s="21">
        <f>IF(AND(X$4&gt;=$D57,X$4&lt;=$E57),1,0)</f>
        <v>0</v>
      </c>
      <c r="Y57" s="21">
        <f>IF(AND(Y$4&gt;=$D57,Y$4&lt;=$E57),1,0)</f>
        <v>0</v>
      </c>
      <c r="Z57" s="21">
        <f>IF(AND(Z$4&gt;=$D57,Z$4&lt;=$E57),1,0)</f>
        <v>0</v>
      </c>
      <c r="AA57" s="21">
        <f>IF(AND(AA$4&gt;=$D57,AA$4&lt;=$E57),1,0)</f>
        <v>0</v>
      </c>
      <c r="AB57" s="21">
        <f>IF(AND(AB$4&gt;=$D57,AB$4&lt;=$E57),1,0)</f>
        <v>0</v>
      </c>
      <c r="AC57" s="21">
        <f>IF(AND(AC$4&gt;=$D57,AC$4&lt;=$E57),1,0)</f>
        <v>0</v>
      </c>
      <c r="AD57" s="21">
        <f>IF(AND(AD$4&gt;=$D57,AD$4&lt;=$E57),1,0)</f>
        <v>0</v>
      </c>
      <c r="AE57" s="21">
        <f>IF(AND(AE$4&gt;=$D57,AE$4&lt;=$E57),1,0)</f>
        <v>0</v>
      </c>
      <c r="AF57" s="21">
        <f>IF(AND(AF$4&gt;=$D57,AF$4&lt;=$E57),1,0)</f>
        <v>1</v>
      </c>
      <c r="AG57" s="21">
        <f>IF(AND(AG$4&gt;=$D57,AG$4&lt;=$E57),1,0)</f>
        <v>1</v>
      </c>
      <c r="AH57" s="21">
        <f>IF(AND(AH$4&gt;=$D57,AH$4&lt;=$E57),1,0)</f>
        <v>0</v>
      </c>
      <c r="AI57" s="21">
        <f>IF(AND(AI$4&gt;=$D57,AI$4&lt;=$E57),1,0)</f>
        <v>0</v>
      </c>
      <c r="AJ57" s="21">
        <f>IF(AND(AJ$4&gt;=$D57,AJ$4&lt;=$E57),1,0)</f>
        <v>0</v>
      </c>
      <c r="AK57" s="21">
        <f>IF(AND(AK$4&gt;=$D57,AK$4&lt;=$E57),1,0)</f>
        <v>0</v>
      </c>
      <c r="AL57" s="21">
        <f>IF(AND(AL$4&gt;=$D57,AL$4&lt;=$E57),1,0)</f>
        <v>0</v>
      </c>
      <c r="AM57" s="21">
        <f>IF(AND(AM$4&gt;=$D57,AM$4&lt;=$E57),1,0)</f>
        <v>0</v>
      </c>
      <c r="AN57" s="21">
        <f>IF(AND(AN$4&gt;=$D57,AN$4&lt;=$E57),1,0)</f>
        <v>0</v>
      </c>
      <c r="AO57" s="21">
        <f>IF(AND(AO$4&gt;=$D57,AO$4&lt;=$E57),1,0)</f>
        <v>0</v>
      </c>
    </row>
    <row r="58" ht="30" customHeight="1">
      <c r="A58" s="12" t="inlineStr">
        <is>
          <t>T14-CL</t>
        </is>
      </c>
      <c r="B58" s="12" t="inlineStr">
        <is>
          <t>Phụ bản và boss UI/telegraph</t>
        </is>
      </c>
      <c r="C58" s="12" t="inlineStr">
        <is>
          <t>CL</t>
        </is>
      </c>
      <c r="D58" s="12">
        <f>'13_WBS'!G58</f>
        <v>27</v>
      </c>
      <c r="E58" s="12">
        <f>'13_WBS'!H58</f>
        <v>28</v>
      </c>
      <c r="F58" s="22">
        <f>IF(AND(F$4&gt;=$D58,F$4&lt;=$E58),1,0)</f>
        <v>0</v>
      </c>
      <c r="G58" s="22">
        <f>IF(AND(G$4&gt;=$D58,G$4&lt;=$E58),1,0)</f>
        <v>0</v>
      </c>
      <c r="H58" s="22">
        <f>IF(AND(H$4&gt;=$D58,H$4&lt;=$E58),1,0)</f>
        <v>0</v>
      </c>
      <c r="I58" s="22">
        <f>IF(AND(I$4&gt;=$D58,I$4&lt;=$E58),1,0)</f>
        <v>0</v>
      </c>
      <c r="J58" s="22">
        <f>IF(AND(J$4&gt;=$D58,J$4&lt;=$E58),1,0)</f>
        <v>0</v>
      </c>
      <c r="K58" s="22">
        <f>IF(AND(K$4&gt;=$D58,K$4&lt;=$E58),1,0)</f>
        <v>0</v>
      </c>
      <c r="L58" s="22">
        <f>IF(AND(L$4&gt;=$D58,L$4&lt;=$E58),1,0)</f>
        <v>0</v>
      </c>
      <c r="M58" s="22">
        <f>IF(AND(M$4&gt;=$D58,M$4&lt;=$E58),1,0)</f>
        <v>0</v>
      </c>
      <c r="N58" s="22">
        <f>IF(AND(N$4&gt;=$D58,N$4&lt;=$E58),1,0)</f>
        <v>0</v>
      </c>
      <c r="O58" s="22">
        <f>IF(AND(O$4&gt;=$D58,O$4&lt;=$E58),1,0)</f>
        <v>0</v>
      </c>
      <c r="P58" s="22">
        <f>IF(AND(P$4&gt;=$D58,P$4&lt;=$E58),1,0)</f>
        <v>0</v>
      </c>
      <c r="Q58" s="22">
        <f>IF(AND(Q$4&gt;=$D58,Q$4&lt;=$E58),1,0)</f>
        <v>0</v>
      </c>
      <c r="R58" s="22">
        <f>IF(AND(R$4&gt;=$D58,R$4&lt;=$E58),1,0)</f>
        <v>0</v>
      </c>
      <c r="S58" s="22">
        <f>IF(AND(S$4&gt;=$D58,S$4&lt;=$E58),1,0)</f>
        <v>0</v>
      </c>
      <c r="T58" s="22">
        <f>IF(AND(T$4&gt;=$D58,T$4&lt;=$E58),1,0)</f>
        <v>0</v>
      </c>
      <c r="U58" s="22">
        <f>IF(AND(U$4&gt;=$D58,U$4&lt;=$E58),1,0)</f>
        <v>0</v>
      </c>
      <c r="V58" s="22">
        <f>IF(AND(V$4&gt;=$D58,V$4&lt;=$E58),1,0)</f>
        <v>0</v>
      </c>
      <c r="W58" s="22">
        <f>IF(AND(W$4&gt;=$D58,W$4&lt;=$E58),1,0)</f>
        <v>0</v>
      </c>
      <c r="X58" s="22">
        <f>IF(AND(X$4&gt;=$D58,X$4&lt;=$E58),1,0)</f>
        <v>0</v>
      </c>
      <c r="Y58" s="22">
        <f>IF(AND(Y$4&gt;=$D58,Y$4&lt;=$E58),1,0)</f>
        <v>0</v>
      </c>
      <c r="Z58" s="22">
        <f>IF(AND(Z$4&gt;=$D58,Z$4&lt;=$E58),1,0)</f>
        <v>0</v>
      </c>
      <c r="AA58" s="22">
        <f>IF(AND(AA$4&gt;=$D58,AA$4&lt;=$E58),1,0)</f>
        <v>0</v>
      </c>
      <c r="AB58" s="22">
        <f>IF(AND(AB$4&gt;=$D58,AB$4&lt;=$E58),1,0)</f>
        <v>0</v>
      </c>
      <c r="AC58" s="22">
        <f>IF(AND(AC$4&gt;=$D58,AC$4&lt;=$E58),1,0)</f>
        <v>0</v>
      </c>
      <c r="AD58" s="22">
        <f>IF(AND(AD$4&gt;=$D58,AD$4&lt;=$E58),1,0)</f>
        <v>0</v>
      </c>
      <c r="AE58" s="22">
        <f>IF(AND(AE$4&gt;=$D58,AE$4&lt;=$E58),1,0)</f>
        <v>0</v>
      </c>
      <c r="AF58" s="22">
        <f>IF(AND(AF$4&gt;=$D58,AF$4&lt;=$E58),1,0)</f>
        <v>1</v>
      </c>
      <c r="AG58" s="22">
        <f>IF(AND(AG$4&gt;=$D58,AG$4&lt;=$E58),1,0)</f>
        <v>1</v>
      </c>
      <c r="AH58" s="22">
        <f>IF(AND(AH$4&gt;=$D58,AH$4&lt;=$E58),1,0)</f>
        <v>0</v>
      </c>
      <c r="AI58" s="22">
        <f>IF(AND(AI$4&gt;=$D58,AI$4&lt;=$E58),1,0)</f>
        <v>0</v>
      </c>
      <c r="AJ58" s="22">
        <f>IF(AND(AJ$4&gt;=$D58,AJ$4&lt;=$E58),1,0)</f>
        <v>0</v>
      </c>
      <c r="AK58" s="22">
        <f>IF(AND(AK$4&gt;=$D58,AK$4&lt;=$E58),1,0)</f>
        <v>0</v>
      </c>
      <c r="AL58" s="22">
        <f>IF(AND(AL$4&gt;=$D58,AL$4&lt;=$E58),1,0)</f>
        <v>0</v>
      </c>
      <c r="AM58" s="22">
        <f>IF(AND(AM$4&gt;=$D58,AM$4&lt;=$E58),1,0)</f>
        <v>0</v>
      </c>
      <c r="AN58" s="22">
        <f>IF(AND(AN$4&gt;=$D58,AN$4&lt;=$E58),1,0)</f>
        <v>0</v>
      </c>
      <c r="AO58" s="22">
        <f>IF(AND(AO$4&gt;=$D58,AO$4&lt;=$E58),1,0)</f>
        <v>0</v>
      </c>
    </row>
    <row r="59" ht="30" customHeight="1">
      <c r="A59" s="11" t="inlineStr">
        <is>
          <t>T14-SV</t>
        </is>
      </c>
      <c r="B59" s="11" t="inlineStr">
        <is>
          <t>Dungeon instance, boss và personal reward</t>
        </is>
      </c>
      <c r="C59" s="11" t="inlineStr">
        <is>
          <t>SV</t>
        </is>
      </c>
      <c r="D59" s="11">
        <f>'13_WBS'!G59</f>
        <v>27</v>
      </c>
      <c r="E59" s="11">
        <f>'13_WBS'!H59</f>
        <v>28</v>
      </c>
      <c r="F59" s="21">
        <f>IF(AND(F$4&gt;=$D59,F$4&lt;=$E59),1,0)</f>
        <v>0</v>
      </c>
      <c r="G59" s="21">
        <f>IF(AND(G$4&gt;=$D59,G$4&lt;=$E59),1,0)</f>
        <v>0</v>
      </c>
      <c r="H59" s="21">
        <f>IF(AND(H$4&gt;=$D59,H$4&lt;=$E59),1,0)</f>
        <v>0</v>
      </c>
      <c r="I59" s="21">
        <f>IF(AND(I$4&gt;=$D59,I$4&lt;=$E59),1,0)</f>
        <v>0</v>
      </c>
      <c r="J59" s="21">
        <f>IF(AND(J$4&gt;=$D59,J$4&lt;=$E59),1,0)</f>
        <v>0</v>
      </c>
      <c r="K59" s="21">
        <f>IF(AND(K$4&gt;=$D59,K$4&lt;=$E59),1,0)</f>
        <v>0</v>
      </c>
      <c r="L59" s="21">
        <f>IF(AND(L$4&gt;=$D59,L$4&lt;=$E59),1,0)</f>
        <v>0</v>
      </c>
      <c r="M59" s="21">
        <f>IF(AND(M$4&gt;=$D59,M$4&lt;=$E59),1,0)</f>
        <v>0</v>
      </c>
      <c r="N59" s="21">
        <f>IF(AND(N$4&gt;=$D59,N$4&lt;=$E59),1,0)</f>
        <v>0</v>
      </c>
      <c r="O59" s="21">
        <f>IF(AND(O$4&gt;=$D59,O$4&lt;=$E59),1,0)</f>
        <v>0</v>
      </c>
      <c r="P59" s="21">
        <f>IF(AND(P$4&gt;=$D59,P$4&lt;=$E59),1,0)</f>
        <v>0</v>
      </c>
      <c r="Q59" s="21">
        <f>IF(AND(Q$4&gt;=$D59,Q$4&lt;=$E59),1,0)</f>
        <v>0</v>
      </c>
      <c r="R59" s="21">
        <f>IF(AND(R$4&gt;=$D59,R$4&lt;=$E59),1,0)</f>
        <v>0</v>
      </c>
      <c r="S59" s="21">
        <f>IF(AND(S$4&gt;=$D59,S$4&lt;=$E59),1,0)</f>
        <v>0</v>
      </c>
      <c r="T59" s="21">
        <f>IF(AND(T$4&gt;=$D59,T$4&lt;=$E59),1,0)</f>
        <v>0</v>
      </c>
      <c r="U59" s="21">
        <f>IF(AND(U$4&gt;=$D59,U$4&lt;=$E59),1,0)</f>
        <v>0</v>
      </c>
      <c r="V59" s="21">
        <f>IF(AND(V$4&gt;=$D59,V$4&lt;=$E59),1,0)</f>
        <v>0</v>
      </c>
      <c r="W59" s="21">
        <f>IF(AND(W$4&gt;=$D59,W$4&lt;=$E59),1,0)</f>
        <v>0</v>
      </c>
      <c r="X59" s="21">
        <f>IF(AND(X$4&gt;=$D59,X$4&lt;=$E59),1,0)</f>
        <v>0</v>
      </c>
      <c r="Y59" s="21">
        <f>IF(AND(Y$4&gt;=$D59,Y$4&lt;=$E59),1,0)</f>
        <v>0</v>
      </c>
      <c r="Z59" s="21">
        <f>IF(AND(Z$4&gt;=$D59,Z$4&lt;=$E59),1,0)</f>
        <v>0</v>
      </c>
      <c r="AA59" s="21">
        <f>IF(AND(AA$4&gt;=$D59,AA$4&lt;=$E59),1,0)</f>
        <v>0</v>
      </c>
      <c r="AB59" s="21">
        <f>IF(AND(AB$4&gt;=$D59,AB$4&lt;=$E59),1,0)</f>
        <v>0</v>
      </c>
      <c r="AC59" s="21">
        <f>IF(AND(AC$4&gt;=$D59,AC$4&lt;=$E59),1,0)</f>
        <v>0</v>
      </c>
      <c r="AD59" s="21">
        <f>IF(AND(AD$4&gt;=$D59,AD$4&lt;=$E59),1,0)</f>
        <v>0</v>
      </c>
      <c r="AE59" s="21">
        <f>IF(AND(AE$4&gt;=$D59,AE$4&lt;=$E59),1,0)</f>
        <v>0</v>
      </c>
      <c r="AF59" s="21">
        <f>IF(AND(AF$4&gt;=$D59,AF$4&lt;=$E59),1,0)</f>
        <v>1</v>
      </c>
      <c r="AG59" s="21">
        <f>IF(AND(AG$4&gt;=$D59,AG$4&lt;=$E59),1,0)</f>
        <v>1</v>
      </c>
      <c r="AH59" s="21">
        <f>IF(AND(AH$4&gt;=$D59,AH$4&lt;=$E59),1,0)</f>
        <v>0</v>
      </c>
      <c r="AI59" s="21">
        <f>IF(AND(AI$4&gt;=$D59,AI$4&lt;=$E59),1,0)</f>
        <v>0</v>
      </c>
      <c r="AJ59" s="21">
        <f>IF(AND(AJ$4&gt;=$D59,AJ$4&lt;=$E59),1,0)</f>
        <v>0</v>
      </c>
      <c r="AK59" s="21">
        <f>IF(AND(AK$4&gt;=$D59,AK$4&lt;=$E59),1,0)</f>
        <v>0</v>
      </c>
      <c r="AL59" s="21">
        <f>IF(AND(AL$4&gt;=$D59,AL$4&lt;=$E59),1,0)</f>
        <v>0</v>
      </c>
      <c r="AM59" s="21">
        <f>IF(AND(AM$4&gt;=$D59,AM$4&lt;=$E59),1,0)</f>
        <v>0</v>
      </c>
      <c r="AN59" s="21">
        <f>IF(AND(AN$4&gt;=$D59,AN$4&lt;=$E59),1,0)</f>
        <v>0</v>
      </c>
      <c r="AO59" s="21">
        <f>IF(AND(AO$4&gt;=$D59,AO$4&lt;=$E59),1,0)</f>
        <v>0</v>
      </c>
    </row>
    <row r="60" ht="30" customHeight="1">
      <c r="A60" s="12" t="inlineStr">
        <is>
          <t>T14-AR</t>
        </is>
      </c>
      <c r="B60" s="12" t="inlineStr">
        <is>
          <t>Boss VFX, dungeon props và âm thanh</t>
        </is>
      </c>
      <c r="C60" s="12" t="inlineStr">
        <is>
          <t>AR</t>
        </is>
      </c>
      <c r="D60" s="12">
        <f>'13_WBS'!G60</f>
        <v>27</v>
      </c>
      <c r="E60" s="12">
        <f>'13_WBS'!H60</f>
        <v>28</v>
      </c>
      <c r="F60" s="22">
        <f>IF(AND(F$4&gt;=$D60,F$4&lt;=$E60),1,0)</f>
        <v>0</v>
      </c>
      <c r="G60" s="22">
        <f>IF(AND(G$4&gt;=$D60,G$4&lt;=$E60),1,0)</f>
        <v>0</v>
      </c>
      <c r="H60" s="22">
        <f>IF(AND(H$4&gt;=$D60,H$4&lt;=$E60),1,0)</f>
        <v>0</v>
      </c>
      <c r="I60" s="22">
        <f>IF(AND(I$4&gt;=$D60,I$4&lt;=$E60),1,0)</f>
        <v>0</v>
      </c>
      <c r="J60" s="22">
        <f>IF(AND(J$4&gt;=$D60,J$4&lt;=$E60),1,0)</f>
        <v>0</v>
      </c>
      <c r="K60" s="22">
        <f>IF(AND(K$4&gt;=$D60,K$4&lt;=$E60),1,0)</f>
        <v>0</v>
      </c>
      <c r="L60" s="22">
        <f>IF(AND(L$4&gt;=$D60,L$4&lt;=$E60),1,0)</f>
        <v>0</v>
      </c>
      <c r="M60" s="22">
        <f>IF(AND(M$4&gt;=$D60,M$4&lt;=$E60),1,0)</f>
        <v>0</v>
      </c>
      <c r="N60" s="22">
        <f>IF(AND(N$4&gt;=$D60,N$4&lt;=$E60),1,0)</f>
        <v>0</v>
      </c>
      <c r="O60" s="22">
        <f>IF(AND(O$4&gt;=$D60,O$4&lt;=$E60),1,0)</f>
        <v>0</v>
      </c>
      <c r="P60" s="22">
        <f>IF(AND(P$4&gt;=$D60,P$4&lt;=$E60),1,0)</f>
        <v>0</v>
      </c>
      <c r="Q60" s="22">
        <f>IF(AND(Q$4&gt;=$D60,Q$4&lt;=$E60),1,0)</f>
        <v>0</v>
      </c>
      <c r="R60" s="22">
        <f>IF(AND(R$4&gt;=$D60,R$4&lt;=$E60),1,0)</f>
        <v>0</v>
      </c>
      <c r="S60" s="22">
        <f>IF(AND(S$4&gt;=$D60,S$4&lt;=$E60),1,0)</f>
        <v>0</v>
      </c>
      <c r="T60" s="22">
        <f>IF(AND(T$4&gt;=$D60,T$4&lt;=$E60),1,0)</f>
        <v>0</v>
      </c>
      <c r="U60" s="22">
        <f>IF(AND(U$4&gt;=$D60,U$4&lt;=$E60),1,0)</f>
        <v>0</v>
      </c>
      <c r="V60" s="22">
        <f>IF(AND(V$4&gt;=$D60,V$4&lt;=$E60),1,0)</f>
        <v>0</v>
      </c>
      <c r="W60" s="22">
        <f>IF(AND(W$4&gt;=$D60,W$4&lt;=$E60),1,0)</f>
        <v>0</v>
      </c>
      <c r="X60" s="22">
        <f>IF(AND(X$4&gt;=$D60,X$4&lt;=$E60),1,0)</f>
        <v>0</v>
      </c>
      <c r="Y60" s="22">
        <f>IF(AND(Y$4&gt;=$D60,Y$4&lt;=$E60),1,0)</f>
        <v>0</v>
      </c>
      <c r="Z60" s="22">
        <f>IF(AND(Z$4&gt;=$D60,Z$4&lt;=$E60),1,0)</f>
        <v>0</v>
      </c>
      <c r="AA60" s="22">
        <f>IF(AND(AA$4&gt;=$D60,AA$4&lt;=$E60),1,0)</f>
        <v>0</v>
      </c>
      <c r="AB60" s="22">
        <f>IF(AND(AB$4&gt;=$D60,AB$4&lt;=$E60),1,0)</f>
        <v>0</v>
      </c>
      <c r="AC60" s="22">
        <f>IF(AND(AC$4&gt;=$D60,AC$4&lt;=$E60),1,0)</f>
        <v>0</v>
      </c>
      <c r="AD60" s="22">
        <f>IF(AND(AD$4&gt;=$D60,AD$4&lt;=$E60),1,0)</f>
        <v>0</v>
      </c>
      <c r="AE60" s="22">
        <f>IF(AND(AE$4&gt;=$D60,AE$4&lt;=$E60),1,0)</f>
        <v>0</v>
      </c>
      <c r="AF60" s="22">
        <f>IF(AND(AF$4&gt;=$D60,AF$4&lt;=$E60),1,0)</f>
        <v>1</v>
      </c>
      <c r="AG60" s="22">
        <f>IF(AND(AG$4&gt;=$D60,AG$4&lt;=$E60),1,0)</f>
        <v>1</v>
      </c>
      <c r="AH60" s="22">
        <f>IF(AND(AH$4&gt;=$D60,AH$4&lt;=$E60),1,0)</f>
        <v>0</v>
      </c>
      <c r="AI60" s="22">
        <f>IF(AND(AI$4&gt;=$D60,AI$4&lt;=$E60),1,0)</f>
        <v>0</v>
      </c>
      <c r="AJ60" s="22">
        <f>IF(AND(AJ$4&gt;=$D60,AJ$4&lt;=$E60),1,0)</f>
        <v>0</v>
      </c>
      <c r="AK60" s="22">
        <f>IF(AND(AK$4&gt;=$D60,AK$4&lt;=$E60),1,0)</f>
        <v>0</v>
      </c>
      <c r="AL60" s="22">
        <f>IF(AND(AL$4&gt;=$D60,AL$4&lt;=$E60),1,0)</f>
        <v>0</v>
      </c>
      <c r="AM60" s="22">
        <f>IF(AND(AM$4&gt;=$D60,AM$4&lt;=$E60),1,0)</f>
        <v>0</v>
      </c>
      <c r="AN60" s="22">
        <f>IF(AND(AN$4&gt;=$D60,AN$4&lt;=$E60),1,0)</f>
        <v>0</v>
      </c>
      <c r="AO60" s="22">
        <f>IF(AND(AO$4&gt;=$D60,AO$4&lt;=$E60),1,0)</f>
        <v>0</v>
      </c>
    </row>
    <row r="61" ht="30" customHeight="1">
      <c r="A61" s="11" t="inlineStr">
        <is>
          <t>T15-GD</t>
        </is>
      </c>
      <c r="B61" s="11" t="inlineStr">
        <is>
          <t>Gate G4 — multiplayer và PvP</t>
        </is>
      </c>
      <c r="C61" s="11" t="inlineStr">
        <is>
          <t>GD</t>
        </is>
      </c>
      <c r="D61" s="11">
        <f>'13_WBS'!G61</f>
        <v>29</v>
      </c>
      <c r="E61" s="11">
        <f>'13_WBS'!H61</f>
        <v>30</v>
      </c>
      <c r="F61" s="21">
        <f>IF(AND(F$4&gt;=$D61,F$4&lt;=$E61),1,0)</f>
        <v>0</v>
      </c>
      <c r="G61" s="21">
        <f>IF(AND(G$4&gt;=$D61,G$4&lt;=$E61),1,0)</f>
        <v>0</v>
      </c>
      <c r="H61" s="21">
        <f>IF(AND(H$4&gt;=$D61,H$4&lt;=$E61),1,0)</f>
        <v>0</v>
      </c>
      <c r="I61" s="21">
        <f>IF(AND(I$4&gt;=$D61,I$4&lt;=$E61),1,0)</f>
        <v>0</v>
      </c>
      <c r="J61" s="21">
        <f>IF(AND(J$4&gt;=$D61,J$4&lt;=$E61),1,0)</f>
        <v>0</v>
      </c>
      <c r="K61" s="21">
        <f>IF(AND(K$4&gt;=$D61,K$4&lt;=$E61),1,0)</f>
        <v>0</v>
      </c>
      <c r="L61" s="21">
        <f>IF(AND(L$4&gt;=$D61,L$4&lt;=$E61),1,0)</f>
        <v>0</v>
      </c>
      <c r="M61" s="21">
        <f>IF(AND(M$4&gt;=$D61,M$4&lt;=$E61),1,0)</f>
        <v>0</v>
      </c>
      <c r="N61" s="21">
        <f>IF(AND(N$4&gt;=$D61,N$4&lt;=$E61),1,0)</f>
        <v>0</v>
      </c>
      <c r="O61" s="21">
        <f>IF(AND(O$4&gt;=$D61,O$4&lt;=$E61),1,0)</f>
        <v>0</v>
      </c>
      <c r="P61" s="21">
        <f>IF(AND(P$4&gt;=$D61,P$4&lt;=$E61),1,0)</f>
        <v>0</v>
      </c>
      <c r="Q61" s="21">
        <f>IF(AND(Q$4&gt;=$D61,Q$4&lt;=$E61),1,0)</f>
        <v>0</v>
      </c>
      <c r="R61" s="21">
        <f>IF(AND(R$4&gt;=$D61,R$4&lt;=$E61),1,0)</f>
        <v>0</v>
      </c>
      <c r="S61" s="21">
        <f>IF(AND(S$4&gt;=$D61,S$4&lt;=$E61),1,0)</f>
        <v>0</v>
      </c>
      <c r="T61" s="21">
        <f>IF(AND(T$4&gt;=$D61,T$4&lt;=$E61),1,0)</f>
        <v>0</v>
      </c>
      <c r="U61" s="21">
        <f>IF(AND(U$4&gt;=$D61,U$4&lt;=$E61),1,0)</f>
        <v>0</v>
      </c>
      <c r="V61" s="21">
        <f>IF(AND(V$4&gt;=$D61,V$4&lt;=$E61),1,0)</f>
        <v>0</v>
      </c>
      <c r="W61" s="21">
        <f>IF(AND(W$4&gt;=$D61,W$4&lt;=$E61),1,0)</f>
        <v>0</v>
      </c>
      <c r="X61" s="21">
        <f>IF(AND(X$4&gt;=$D61,X$4&lt;=$E61),1,0)</f>
        <v>0</v>
      </c>
      <c r="Y61" s="21">
        <f>IF(AND(Y$4&gt;=$D61,Y$4&lt;=$E61),1,0)</f>
        <v>0</v>
      </c>
      <c r="Z61" s="21">
        <f>IF(AND(Z$4&gt;=$D61,Z$4&lt;=$E61),1,0)</f>
        <v>0</v>
      </c>
      <c r="AA61" s="21">
        <f>IF(AND(AA$4&gt;=$D61,AA$4&lt;=$E61),1,0)</f>
        <v>0</v>
      </c>
      <c r="AB61" s="21">
        <f>IF(AND(AB$4&gt;=$D61,AB$4&lt;=$E61),1,0)</f>
        <v>0</v>
      </c>
      <c r="AC61" s="21">
        <f>IF(AND(AC$4&gt;=$D61,AC$4&lt;=$E61),1,0)</f>
        <v>0</v>
      </c>
      <c r="AD61" s="21">
        <f>IF(AND(AD$4&gt;=$D61,AD$4&lt;=$E61),1,0)</f>
        <v>0</v>
      </c>
      <c r="AE61" s="21">
        <f>IF(AND(AE$4&gt;=$D61,AE$4&lt;=$E61),1,0)</f>
        <v>0</v>
      </c>
      <c r="AF61" s="21">
        <f>IF(AND(AF$4&gt;=$D61,AF$4&lt;=$E61),1,0)</f>
        <v>0</v>
      </c>
      <c r="AG61" s="21">
        <f>IF(AND(AG$4&gt;=$D61,AG$4&lt;=$E61),1,0)</f>
        <v>0</v>
      </c>
      <c r="AH61" s="21">
        <f>IF(AND(AH$4&gt;=$D61,AH$4&lt;=$E61),1,0)</f>
        <v>1</v>
      </c>
      <c r="AI61" s="21">
        <f>IF(AND(AI$4&gt;=$D61,AI$4&lt;=$E61),1,0)</f>
        <v>1</v>
      </c>
      <c r="AJ61" s="21">
        <f>IF(AND(AJ$4&gt;=$D61,AJ$4&lt;=$E61),1,0)</f>
        <v>0</v>
      </c>
      <c r="AK61" s="21">
        <f>IF(AND(AK$4&gt;=$D61,AK$4&lt;=$E61),1,0)</f>
        <v>0</v>
      </c>
      <c r="AL61" s="21">
        <f>IF(AND(AL$4&gt;=$D61,AL$4&lt;=$E61),1,0)</f>
        <v>0</v>
      </c>
      <c r="AM61" s="21">
        <f>IF(AND(AM$4&gt;=$D61,AM$4&lt;=$E61),1,0)</f>
        <v>0</v>
      </c>
      <c r="AN61" s="21">
        <f>IF(AND(AN$4&gt;=$D61,AN$4&lt;=$E61),1,0)</f>
        <v>0</v>
      </c>
      <c r="AO61" s="21">
        <f>IF(AND(AO$4&gt;=$D61,AO$4&lt;=$E61),1,0)</f>
        <v>0</v>
      </c>
    </row>
    <row r="62" ht="30" customHeight="1">
      <c r="A62" s="12" t="inlineStr">
        <is>
          <t>T15-CL</t>
        </is>
      </c>
      <c r="B62" s="12" t="inlineStr">
        <is>
          <t>Đấu tay đôi opt-in và kết quả</t>
        </is>
      </c>
      <c r="C62" s="12" t="inlineStr">
        <is>
          <t>CL</t>
        </is>
      </c>
      <c r="D62" s="12">
        <f>'13_WBS'!G62</f>
        <v>29</v>
      </c>
      <c r="E62" s="12">
        <f>'13_WBS'!H62</f>
        <v>30</v>
      </c>
      <c r="F62" s="22">
        <f>IF(AND(F$4&gt;=$D62,F$4&lt;=$E62),1,0)</f>
        <v>0</v>
      </c>
      <c r="G62" s="22">
        <f>IF(AND(G$4&gt;=$D62,G$4&lt;=$E62),1,0)</f>
        <v>0</v>
      </c>
      <c r="H62" s="22">
        <f>IF(AND(H$4&gt;=$D62,H$4&lt;=$E62),1,0)</f>
        <v>0</v>
      </c>
      <c r="I62" s="22">
        <f>IF(AND(I$4&gt;=$D62,I$4&lt;=$E62),1,0)</f>
        <v>0</v>
      </c>
      <c r="J62" s="22">
        <f>IF(AND(J$4&gt;=$D62,J$4&lt;=$E62),1,0)</f>
        <v>0</v>
      </c>
      <c r="K62" s="22">
        <f>IF(AND(K$4&gt;=$D62,K$4&lt;=$E62),1,0)</f>
        <v>0</v>
      </c>
      <c r="L62" s="22">
        <f>IF(AND(L$4&gt;=$D62,L$4&lt;=$E62),1,0)</f>
        <v>0</v>
      </c>
      <c r="M62" s="22">
        <f>IF(AND(M$4&gt;=$D62,M$4&lt;=$E62),1,0)</f>
        <v>0</v>
      </c>
      <c r="N62" s="22">
        <f>IF(AND(N$4&gt;=$D62,N$4&lt;=$E62),1,0)</f>
        <v>0</v>
      </c>
      <c r="O62" s="22">
        <f>IF(AND(O$4&gt;=$D62,O$4&lt;=$E62),1,0)</f>
        <v>0</v>
      </c>
      <c r="P62" s="22">
        <f>IF(AND(P$4&gt;=$D62,P$4&lt;=$E62),1,0)</f>
        <v>0</v>
      </c>
      <c r="Q62" s="22">
        <f>IF(AND(Q$4&gt;=$D62,Q$4&lt;=$E62),1,0)</f>
        <v>0</v>
      </c>
      <c r="R62" s="22">
        <f>IF(AND(R$4&gt;=$D62,R$4&lt;=$E62),1,0)</f>
        <v>0</v>
      </c>
      <c r="S62" s="22">
        <f>IF(AND(S$4&gt;=$D62,S$4&lt;=$E62),1,0)</f>
        <v>0</v>
      </c>
      <c r="T62" s="22">
        <f>IF(AND(T$4&gt;=$D62,T$4&lt;=$E62),1,0)</f>
        <v>0</v>
      </c>
      <c r="U62" s="22">
        <f>IF(AND(U$4&gt;=$D62,U$4&lt;=$E62),1,0)</f>
        <v>0</v>
      </c>
      <c r="V62" s="22">
        <f>IF(AND(V$4&gt;=$D62,V$4&lt;=$E62),1,0)</f>
        <v>0</v>
      </c>
      <c r="W62" s="22">
        <f>IF(AND(W$4&gt;=$D62,W$4&lt;=$E62),1,0)</f>
        <v>0</v>
      </c>
      <c r="X62" s="22">
        <f>IF(AND(X$4&gt;=$D62,X$4&lt;=$E62),1,0)</f>
        <v>0</v>
      </c>
      <c r="Y62" s="22">
        <f>IF(AND(Y$4&gt;=$D62,Y$4&lt;=$E62),1,0)</f>
        <v>0</v>
      </c>
      <c r="Z62" s="22">
        <f>IF(AND(Z$4&gt;=$D62,Z$4&lt;=$E62),1,0)</f>
        <v>0</v>
      </c>
      <c r="AA62" s="22">
        <f>IF(AND(AA$4&gt;=$D62,AA$4&lt;=$E62),1,0)</f>
        <v>0</v>
      </c>
      <c r="AB62" s="22">
        <f>IF(AND(AB$4&gt;=$D62,AB$4&lt;=$E62),1,0)</f>
        <v>0</v>
      </c>
      <c r="AC62" s="22">
        <f>IF(AND(AC$4&gt;=$D62,AC$4&lt;=$E62),1,0)</f>
        <v>0</v>
      </c>
      <c r="AD62" s="22">
        <f>IF(AND(AD$4&gt;=$D62,AD$4&lt;=$E62),1,0)</f>
        <v>0</v>
      </c>
      <c r="AE62" s="22">
        <f>IF(AND(AE$4&gt;=$D62,AE$4&lt;=$E62),1,0)</f>
        <v>0</v>
      </c>
      <c r="AF62" s="22">
        <f>IF(AND(AF$4&gt;=$D62,AF$4&lt;=$E62),1,0)</f>
        <v>0</v>
      </c>
      <c r="AG62" s="22">
        <f>IF(AND(AG$4&gt;=$D62,AG$4&lt;=$E62),1,0)</f>
        <v>0</v>
      </c>
      <c r="AH62" s="22">
        <f>IF(AND(AH$4&gt;=$D62,AH$4&lt;=$E62),1,0)</f>
        <v>1</v>
      </c>
      <c r="AI62" s="22">
        <f>IF(AND(AI$4&gt;=$D62,AI$4&lt;=$E62),1,0)</f>
        <v>1</v>
      </c>
      <c r="AJ62" s="22">
        <f>IF(AND(AJ$4&gt;=$D62,AJ$4&lt;=$E62),1,0)</f>
        <v>0</v>
      </c>
      <c r="AK62" s="22">
        <f>IF(AND(AK$4&gt;=$D62,AK$4&lt;=$E62),1,0)</f>
        <v>0</v>
      </c>
      <c r="AL62" s="22">
        <f>IF(AND(AL$4&gt;=$D62,AL$4&lt;=$E62),1,0)</f>
        <v>0</v>
      </c>
      <c r="AM62" s="22">
        <f>IF(AND(AM$4&gt;=$D62,AM$4&lt;=$E62),1,0)</f>
        <v>0</v>
      </c>
      <c r="AN62" s="22">
        <f>IF(AND(AN$4&gt;=$D62,AN$4&lt;=$E62),1,0)</f>
        <v>0</v>
      </c>
      <c r="AO62" s="22">
        <f>IF(AND(AO$4&gt;=$D62,AO$4&lt;=$E62),1,0)</f>
        <v>0</v>
      </c>
    </row>
    <row r="63" ht="30" customHeight="1">
      <c r="A63" s="11" t="inlineStr">
        <is>
          <t>T15-SV</t>
        </is>
      </c>
      <c r="B63" s="11" t="inlineStr">
        <is>
          <t>Arena PvP, timer và disconnect policy</t>
        </is>
      </c>
      <c r="C63" s="11" t="inlineStr">
        <is>
          <t>SV</t>
        </is>
      </c>
      <c r="D63" s="11">
        <f>'13_WBS'!G63</f>
        <v>29</v>
      </c>
      <c r="E63" s="11">
        <f>'13_WBS'!H63</f>
        <v>30</v>
      </c>
      <c r="F63" s="21">
        <f>IF(AND(F$4&gt;=$D63,F$4&lt;=$E63),1,0)</f>
        <v>0</v>
      </c>
      <c r="G63" s="21">
        <f>IF(AND(G$4&gt;=$D63,G$4&lt;=$E63),1,0)</f>
        <v>0</v>
      </c>
      <c r="H63" s="21">
        <f>IF(AND(H$4&gt;=$D63,H$4&lt;=$E63),1,0)</f>
        <v>0</v>
      </c>
      <c r="I63" s="21">
        <f>IF(AND(I$4&gt;=$D63,I$4&lt;=$E63),1,0)</f>
        <v>0</v>
      </c>
      <c r="J63" s="21">
        <f>IF(AND(J$4&gt;=$D63,J$4&lt;=$E63),1,0)</f>
        <v>0</v>
      </c>
      <c r="K63" s="21">
        <f>IF(AND(K$4&gt;=$D63,K$4&lt;=$E63),1,0)</f>
        <v>0</v>
      </c>
      <c r="L63" s="21">
        <f>IF(AND(L$4&gt;=$D63,L$4&lt;=$E63),1,0)</f>
        <v>0</v>
      </c>
      <c r="M63" s="21">
        <f>IF(AND(M$4&gt;=$D63,M$4&lt;=$E63),1,0)</f>
        <v>0</v>
      </c>
      <c r="N63" s="21">
        <f>IF(AND(N$4&gt;=$D63,N$4&lt;=$E63),1,0)</f>
        <v>0</v>
      </c>
      <c r="O63" s="21">
        <f>IF(AND(O$4&gt;=$D63,O$4&lt;=$E63),1,0)</f>
        <v>0</v>
      </c>
      <c r="P63" s="21">
        <f>IF(AND(P$4&gt;=$D63,P$4&lt;=$E63),1,0)</f>
        <v>0</v>
      </c>
      <c r="Q63" s="21">
        <f>IF(AND(Q$4&gt;=$D63,Q$4&lt;=$E63),1,0)</f>
        <v>0</v>
      </c>
      <c r="R63" s="21">
        <f>IF(AND(R$4&gt;=$D63,R$4&lt;=$E63),1,0)</f>
        <v>0</v>
      </c>
      <c r="S63" s="21">
        <f>IF(AND(S$4&gt;=$D63,S$4&lt;=$E63),1,0)</f>
        <v>0</v>
      </c>
      <c r="T63" s="21">
        <f>IF(AND(T$4&gt;=$D63,T$4&lt;=$E63),1,0)</f>
        <v>0</v>
      </c>
      <c r="U63" s="21">
        <f>IF(AND(U$4&gt;=$D63,U$4&lt;=$E63),1,0)</f>
        <v>0</v>
      </c>
      <c r="V63" s="21">
        <f>IF(AND(V$4&gt;=$D63,V$4&lt;=$E63),1,0)</f>
        <v>0</v>
      </c>
      <c r="W63" s="21">
        <f>IF(AND(W$4&gt;=$D63,W$4&lt;=$E63),1,0)</f>
        <v>0</v>
      </c>
      <c r="X63" s="21">
        <f>IF(AND(X$4&gt;=$D63,X$4&lt;=$E63),1,0)</f>
        <v>0</v>
      </c>
      <c r="Y63" s="21">
        <f>IF(AND(Y$4&gt;=$D63,Y$4&lt;=$E63),1,0)</f>
        <v>0</v>
      </c>
      <c r="Z63" s="21">
        <f>IF(AND(Z$4&gt;=$D63,Z$4&lt;=$E63),1,0)</f>
        <v>0</v>
      </c>
      <c r="AA63" s="21">
        <f>IF(AND(AA$4&gt;=$D63,AA$4&lt;=$E63),1,0)</f>
        <v>0</v>
      </c>
      <c r="AB63" s="21">
        <f>IF(AND(AB$4&gt;=$D63,AB$4&lt;=$E63),1,0)</f>
        <v>0</v>
      </c>
      <c r="AC63" s="21">
        <f>IF(AND(AC$4&gt;=$D63,AC$4&lt;=$E63),1,0)</f>
        <v>0</v>
      </c>
      <c r="AD63" s="21">
        <f>IF(AND(AD$4&gt;=$D63,AD$4&lt;=$E63),1,0)</f>
        <v>0</v>
      </c>
      <c r="AE63" s="21">
        <f>IF(AND(AE$4&gt;=$D63,AE$4&lt;=$E63),1,0)</f>
        <v>0</v>
      </c>
      <c r="AF63" s="21">
        <f>IF(AND(AF$4&gt;=$D63,AF$4&lt;=$E63),1,0)</f>
        <v>0</v>
      </c>
      <c r="AG63" s="21">
        <f>IF(AND(AG$4&gt;=$D63,AG$4&lt;=$E63),1,0)</f>
        <v>0</v>
      </c>
      <c r="AH63" s="21">
        <f>IF(AND(AH$4&gt;=$D63,AH$4&lt;=$E63),1,0)</f>
        <v>1</v>
      </c>
      <c r="AI63" s="21">
        <f>IF(AND(AI$4&gt;=$D63,AI$4&lt;=$E63),1,0)</f>
        <v>1</v>
      </c>
      <c r="AJ63" s="21">
        <f>IF(AND(AJ$4&gt;=$D63,AJ$4&lt;=$E63),1,0)</f>
        <v>0</v>
      </c>
      <c r="AK63" s="21">
        <f>IF(AND(AK$4&gt;=$D63,AK$4&lt;=$E63),1,0)</f>
        <v>0</v>
      </c>
      <c r="AL63" s="21">
        <f>IF(AND(AL$4&gt;=$D63,AL$4&lt;=$E63),1,0)</f>
        <v>0</v>
      </c>
      <c r="AM63" s="21">
        <f>IF(AND(AM$4&gt;=$D63,AM$4&lt;=$E63),1,0)</f>
        <v>0</v>
      </c>
      <c r="AN63" s="21">
        <f>IF(AND(AN$4&gt;=$D63,AN$4&lt;=$E63),1,0)</f>
        <v>0</v>
      </c>
      <c r="AO63" s="21">
        <f>IF(AND(AO$4&gt;=$D63,AO$4&lt;=$E63),1,0)</f>
        <v>0</v>
      </c>
    </row>
    <row r="64" ht="30" customHeight="1">
      <c r="A64" s="12" t="inlineStr">
        <is>
          <t>T15-AR</t>
        </is>
      </c>
      <c r="B64" s="12" t="inlineStr">
        <is>
          <t>Arena/UI social và độ đọc hình</t>
        </is>
      </c>
      <c r="C64" s="12" t="inlineStr">
        <is>
          <t>AR</t>
        </is>
      </c>
      <c r="D64" s="12">
        <f>'13_WBS'!G64</f>
        <v>29</v>
      </c>
      <c r="E64" s="12">
        <f>'13_WBS'!H64</f>
        <v>30</v>
      </c>
      <c r="F64" s="22">
        <f>IF(AND(F$4&gt;=$D64,F$4&lt;=$E64),1,0)</f>
        <v>0</v>
      </c>
      <c r="G64" s="22">
        <f>IF(AND(G$4&gt;=$D64,G$4&lt;=$E64),1,0)</f>
        <v>0</v>
      </c>
      <c r="H64" s="22">
        <f>IF(AND(H$4&gt;=$D64,H$4&lt;=$E64),1,0)</f>
        <v>0</v>
      </c>
      <c r="I64" s="22">
        <f>IF(AND(I$4&gt;=$D64,I$4&lt;=$E64),1,0)</f>
        <v>0</v>
      </c>
      <c r="J64" s="22">
        <f>IF(AND(J$4&gt;=$D64,J$4&lt;=$E64),1,0)</f>
        <v>0</v>
      </c>
      <c r="K64" s="22">
        <f>IF(AND(K$4&gt;=$D64,K$4&lt;=$E64),1,0)</f>
        <v>0</v>
      </c>
      <c r="L64" s="22">
        <f>IF(AND(L$4&gt;=$D64,L$4&lt;=$E64),1,0)</f>
        <v>0</v>
      </c>
      <c r="M64" s="22">
        <f>IF(AND(M$4&gt;=$D64,M$4&lt;=$E64),1,0)</f>
        <v>0</v>
      </c>
      <c r="N64" s="22">
        <f>IF(AND(N$4&gt;=$D64,N$4&lt;=$E64),1,0)</f>
        <v>0</v>
      </c>
      <c r="O64" s="22">
        <f>IF(AND(O$4&gt;=$D64,O$4&lt;=$E64),1,0)</f>
        <v>0</v>
      </c>
      <c r="P64" s="22">
        <f>IF(AND(P$4&gt;=$D64,P$4&lt;=$E64),1,0)</f>
        <v>0</v>
      </c>
      <c r="Q64" s="22">
        <f>IF(AND(Q$4&gt;=$D64,Q$4&lt;=$E64),1,0)</f>
        <v>0</v>
      </c>
      <c r="R64" s="22">
        <f>IF(AND(R$4&gt;=$D64,R$4&lt;=$E64),1,0)</f>
        <v>0</v>
      </c>
      <c r="S64" s="22">
        <f>IF(AND(S$4&gt;=$D64,S$4&lt;=$E64),1,0)</f>
        <v>0</v>
      </c>
      <c r="T64" s="22">
        <f>IF(AND(T$4&gt;=$D64,T$4&lt;=$E64),1,0)</f>
        <v>0</v>
      </c>
      <c r="U64" s="22">
        <f>IF(AND(U$4&gt;=$D64,U$4&lt;=$E64),1,0)</f>
        <v>0</v>
      </c>
      <c r="V64" s="22">
        <f>IF(AND(V$4&gt;=$D64,V$4&lt;=$E64),1,0)</f>
        <v>0</v>
      </c>
      <c r="W64" s="22">
        <f>IF(AND(W$4&gt;=$D64,W$4&lt;=$E64),1,0)</f>
        <v>0</v>
      </c>
      <c r="X64" s="22">
        <f>IF(AND(X$4&gt;=$D64,X$4&lt;=$E64),1,0)</f>
        <v>0</v>
      </c>
      <c r="Y64" s="22">
        <f>IF(AND(Y$4&gt;=$D64,Y$4&lt;=$E64),1,0)</f>
        <v>0</v>
      </c>
      <c r="Z64" s="22">
        <f>IF(AND(Z$4&gt;=$D64,Z$4&lt;=$E64),1,0)</f>
        <v>0</v>
      </c>
      <c r="AA64" s="22">
        <f>IF(AND(AA$4&gt;=$D64,AA$4&lt;=$E64),1,0)</f>
        <v>0</v>
      </c>
      <c r="AB64" s="22">
        <f>IF(AND(AB$4&gt;=$D64,AB$4&lt;=$E64),1,0)</f>
        <v>0</v>
      </c>
      <c r="AC64" s="22">
        <f>IF(AND(AC$4&gt;=$D64,AC$4&lt;=$E64),1,0)</f>
        <v>0</v>
      </c>
      <c r="AD64" s="22">
        <f>IF(AND(AD$4&gt;=$D64,AD$4&lt;=$E64),1,0)</f>
        <v>0</v>
      </c>
      <c r="AE64" s="22">
        <f>IF(AND(AE$4&gt;=$D64,AE$4&lt;=$E64),1,0)</f>
        <v>0</v>
      </c>
      <c r="AF64" s="22">
        <f>IF(AND(AF$4&gt;=$D64,AF$4&lt;=$E64),1,0)</f>
        <v>0</v>
      </c>
      <c r="AG64" s="22">
        <f>IF(AND(AG$4&gt;=$D64,AG$4&lt;=$E64),1,0)</f>
        <v>0</v>
      </c>
      <c r="AH64" s="22">
        <f>IF(AND(AH$4&gt;=$D64,AH$4&lt;=$E64),1,0)</f>
        <v>1</v>
      </c>
      <c r="AI64" s="22">
        <f>IF(AND(AI$4&gt;=$D64,AI$4&lt;=$E64),1,0)</f>
        <v>1</v>
      </c>
      <c r="AJ64" s="22">
        <f>IF(AND(AJ$4&gt;=$D64,AJ$4&lt;=$E64),1,0)</f>
        <v>0</v>
      </c>
      <c r="AK64" s="22">
        <f>IF(AND(AK$4&gt;=$D64,AK$4&lt;=$E64),1,0)</f>
        <v>0</v>
      </c>
      <c r="AL64" s="22">
        <f>IF(AND(AL$4&gt;=$D64,AL$4&lt;=$E64),1,0)</f>
        <v>0</v>
      </c>
      <c r="AM64" s="22">
        <f>IF(AND(AM$4&gt;=$D64,AM$4&lt;=$E64),1,0)</f>
        <v>0</v>
      </c>
      <c r="AN64" s="22">
        <f>IF(AND(AN$4&gt;=$D64,AN$4&lt;=$E64),1,0)</f>
        <v>0</v>
      </c>
      <c r="AO64" s="22">
        <f>IF(AND(AO$4&gt;=$D64,AO$4&lt;=$E64),1,0)</f>
        <v>0</v>
      </c>
    </row>
    <row r="65" ht="30" customHeight="1">
      <c r="A65" s="11" t="inlineStr">
        <is>
          <t>T16-GD</t>
        </is>
      </c>
      <c r="B65" s="11" t="inlineStr">
        <is>
          <t>Feature freeze, UAT plan và hướng dẫn tester</t>
        </is>
      </c>
      <c r="C65" s="11" t="inlineStr">
        <is>
          <t>GD</t>
        </is>
      </c>
      <c r="D65" s="11">
        <f>'13_WBS'!G65</f>
        <v>31</v>
      </c>
      <c r="E65" s="11">
        <f>'13_WBS'!H65</f>
        <v>32</v>
      </c>
      <c r="F65" s="21">
        <f>IF(AND(F$4&gt;=$D65,F$4&lt;=$E65),1,0)</f>
        <v>0</v>
      </c>
      <c r="G65" s="21">
        <f>IF(AND(G$4&gt;=$D65,G$4&lt;=$E65),1,0)</f>
        <v>0</v>
      </c>
      <c r="H65" s="21">
        <f>IF(AND(H$4&gt;=$D65,H$4&lt;=$E65),1,0)</f>
        <v>0</v>
      </c>
      <c r="I65" s="21">
        <f>IF(AND(I$4&gt;=$D65,I$4&lt;=$E65),1,0)</f>
        <v>0</v>
      </c>
      <c r="J65" s="21">
        <f>IF(AND(J$4&gt;=$D65,J$4&lt;=$E65),1,0)</f>
        <v>0</v>
      </c>
      <c r="K65" s="21">
        <f>IF(AND(K$4&gt;=$D65,K$4&lt;=$E65),1,0)</f>
        <v>0</v>
      </c>
      <c r="L65" s="21">
        <f>IF(AND(L$4&gt;=$D65,L$4&lt;=$E65),1,0)</f>
        <v>0</v>
      </c>
      <c r="M65" s="21">
        <f>IF(AND(M$4&gt;=$D65,M$4&lt;=$E65),1,0)</f>
        <v>0</v>
      </c>
      <c r="N65" s="21">
        <f>IF(AND(N$4&gt;=$D65,N$4&lt;=$E65),1,0)</f>
        <v>0</v>
      </c>
      <c r="O65" s="21">
        <f>IF(AND(O$4&gt;=$D65,O$4&lt;=$E65),1,0)</f>
        <v>0</v>
      </c>
      <c r="P65" s="21">
        <f>IF(AND(P$4&gt;=$D65,P$4&lt;=$E65),1,0)</f>
        <v>0</v>
      </c>
      <c r="Q65" s="21">
        <f>IF(AND(Q$4&gt;=$D65,Q$4&lt;=$E65),1,0)</f>
        <v>0</v>
      </c>
      <c r="R65" s="21">
        <f>IF(AND(R$4&gt;=$D65,R$4&lt;=$E65),1,0)</f>
        <v>0</v>
      </c>
      <c r="S65" s="21">
        <f>IF(AND(S$4&gt;=$D65,S$4&lt;=$E65),1,0)</f>
        <v>0</v>
      </c>
      <c r="T65" s="21">
        <f>IF(AND(T$4&gt;=$D65,T$4&lt;=$E65),1,0)</f>
        <v>0</v>
      </c>
      <c r="U65" s="21">
        <f>IF(AND(U$4&gt;=$D65,U$4&lt;=$E65),1,0)</f>
        <v>0</v>
      </c>
      <c r="V65" s="21">
        <f>IF(AND(V$4&gt;=$D65,V$4&lt;=$E65),1,0)</f>
        <v>0</v>
      </c>
      <c r="W65" s="21">
        <f>IF(AND(W$4&gt;=$D65,W$4&lt;=$E65),1,0)</f>
        <v>0</v>
      </c>
      <c r="X65" s="21">
        <f>IF(AND(X$4&gt;=$D65,X$4&lt;=$E65),1,0)</f>
        <v>0</v>
      </c>
      <c r="Y65" s="21">
        <f>IF(AND(Y$4&gt;=$D65,Y$4&lt;=$E65),1,0)</f>
        <v>0</v>
      </c>
      <c r="Z65" s="21">
        <f>IF(AND(Z$4&gt;=$D65,Z$4&lt;=$E65),1,0)</f>
        <v>0</v>
      </c>
      <c r="AA65" s="21">
        <f>IF(AND(AA$4&gt;=$D65,AA$4&lt;=$E65),1,0)</f>
        <v>0</v>
      </c>
      <c r="AB65" s="21">
        <f>IF(AND(AB$4&gt;=$D65,AB$4&lt;=$E65),1,0)</f>
        <v>0</v>
      </c>
      <c r="AC65" s="21">
        <f>IF(AND(AC$4&gt;=$D65,AC$4&lt;=$E65),1,0)</f>
        <v>0</v>
      </c>
      <c r="AD65" s="21">
        <f>IF(AND(AD$4&gt;=$D65,AD$4&lt;=$E65),1,0)</f>
        <v>0</v>
      </c>
      <c r="AE65" s="21">
        <f>IF(AND(AE$4&gt;=$D65,AE$4&lt;=$E65),1,0)</f>
        <v>0</v>
      </c>
      <c r="AF65" s="21">
        <f>IF(AND(AF$4&gt;=$D65,AF$4&lt;=$E65),1,0)</f>
        <v>0</v>
      </c>
      <c r="AG65" s="21">
        <f>IF(AND(AG$4&gt;=$D65,AG$4&lt;=$E65),1,0)</f>
        <v>0</v>
      </c>
      <c r="AH65" s="21">
        <f>IF(AND(AH$4&gt;=$D65,AH$4&lt;=$E65),1,0)</f>
        <v>0</v>
      </c>
      <c r="AI65" s="21">
        <f>IF(AND(AI$4&gt;=$D65,AI$4&lt;=$E65),1,0)</f>
        <v>0</v>
      </c>
      <c r="AJ65" s="21">
        <f>IF(AND(AJ$4&gt;=$D65,AJ$4&lt;=$E65),1,0)</f>
        <v>1</v>
      </c>
      <c r="AK65" s="21">
        <f>IF(AND(AK$4&gt;=$D65,AK$4&lt;=$E65),1,0)</f>
        <v>1</v>
      </c>
      <c r="AL65" s="21">
        <f>IF(AND(AL$4&gt;=$D65,AL$4&lt;=$E65),1,0)</f>
        <v>0</v>
      </c>
      <c r="AM65" s="21">
        <f>IF(AND(AM$4&gt;=$D65,AM$4&lt;=$E65),1,0)</f>
        <v>0</v>
      </c>
      <c r="AN65" s="21">
        <f>IF(AND(AN$4&gt;=$D65,AN$4&lt;=$E65),1,0)</f>
        <v>0</v>
      </c>
      <c r="AO65" s="21">
        <f>IF(AND(AO$4&gt;=$D65,AO$4&lt;=$E65),1,0)</f>
        <v>0</v>
      </c>
    </row>
    <row r="66" ht="30" customHeight="1">
      <c r="A66" s="12" t="inlineStr">
        <is>
          <t>T16-CL</t>
        </is>
      </c>
      <c r="B66" s="12" t="inlineStr">
        <is>
          <t>Admin UI tối thiểu và settings client</t>
        </is>
      </c>
      <c r="C66" s="12" t="inlineStr">
        <is>
          <t>CL</t>
        </is>
      </c>
      <c r="D66" s="12">
        <f>'13_WBS'!G66</f>
        <v>31</v>
      </c>
      <c r="E66" s="12">
        <f>'13_WBS'!H66</f>
        <v>32</v>
      </c>
      <c r="F66" s="22">
        <f>IF(AND(F$4&gt;=$D66,F$4&lt;=$E66),1,0)</f>
        <v>0</v>
      </c>
      <c r="G66" s="22">
        <f>IF(AND(G$4&gt;=$D66,G$4&lt;=$E66),1,0)</f>
        <v>0</v>
      </c>
      <c r="H66" s="22">
        <f>IF(AND(H$4&gt;=$D66,H$4&lt;=$E66),1,0)</f>
        <v>0</v>
      </c>
      <c r="I66" s="22">
        <f>IF(AND(I$4&gt;=$D66,I$4&lt;=$E66),1,0)</f>
        <v>0</v>
      </c>
      <c r="J66" s="22">
        <f>IF(AND(J$4&gt;=$D66,J$4&lt;=$E66),1,0)</f>
        <v>0</v>
      </c>
      <c r="K66" s="22">
        <f>IF(AND(K$4&gt;=$D66,K$4&lt;=$E66),1,0)</f>
        <v>0</v>
      </c>
      <c r="L66" s="22">
        <f>IF(AND(L$4&gt;=$D66,L$4&lt;=$E66),1,0)</f>
        <v>0</v>
      </c>
      <c r="M66" s="22">
        <f>IF(AND(M$4&gt;=$D66,M$4&lt;=$E66),1,0)</f>
        <v>0</v>
      </c>
      <c r="N66" s="22">
        <f>IF(AND(N$4&gt;=$D66,N$4&lt;=$E66),1,0)</f>
        <v>0</v>
      </c>
      <c r="O66" s="22">
        <f>IF(AND(O$4&gt;=$D66,O$4&lt;=$E66),1,0)</f>
        <v>0</v>
      </c>
      <c r="P66" s="22">
        <f>IF(AND(P$4&gt;=$D66,P$4&lt;=$E66),1,0)</f>
        <v>0</v>
      </c>
      <c r="Q66" s="22">
        <f>IF(AND(Q$4&gt;=$D66,Q$4&lt;=$E66),1,0)</f>
        <v>0</v>
      </c>
      <c r="R66" s="22">
        <f>IF(AND(R$4&gt;=$D66,R$4&lt;=$E66),1,0)</f>
        <v>0</v>
      </c>
      <c r="S66" s="22">
        <f>IF(AND(S$4&gt;=$D66,S$4&lt;=$E66),1,0)</f>
        <v>0</v>
      </c>
      <c r="T66" s="22">
        <f>IF(AND(T$4&gt;=$D66,T$4&lt;=$E66),1,0)</f>
        <v>0</v>
      </c>
      <c r="U66" s="22">
        <f>IF(AND(U$4&gt;=$D66,U$4&lt;=$E66),1,0)</f>
        <v>0</v>
      </c>
      <c r="V66" s="22">
        <f>IF(AND(V$4&gt;=$D66,V$4&lt;=$E66),1,0)</f>
        <v>0</v>
      </c>
      <c r="W66" s="22">
        <f>IF(AND(W$4&gt;=$D66,W$4&lt;=$E66),1,0)</f>
        <v>0</v>
      </c>
      <c r="X66" s="22">
        <f>IF(AND(X$4&gt;=$D66,X$4&lt;=$E66),1,0)</f>
        <v>0</v>
      </c>
      <c r="Y66" s="22">
        <f>IF(AND(Y$4&gt;=$D66,Y$4&lt;=$E66),1,0)</f>
        <v>0</v>
      </c>
      <c r="Z66" s="22">
        <f>IF(AND(Z$4&gt;=$D66,Z$4&lt;=$E66),1,0)</f>
        <v>0</v>
      </c>
      <c r="AA66" s="22">
        <f>IF(AND(AA$4&gt;=$D66,AA$4&lt;=$E66),1,0)</f>
        <v>0</v>
      </c>
      <c r="AB66" s="22">
        <f>IF(AND(AB$4&gt;=$D66,AB$4&lt;=$E66),1,0)</f>
        <v>0</v>
      </c>
      <c r="AC66" s="22">
        <f>IF(AND(AC$4&gt;=$D66,AC$4&lt;=$E66),1,0)</f>
        <v>0</v>
      </c>
      <c r="AD66" s="22">
        <f>IF(AND(AD$4&gt;=$D66,AD$4&lt;=$E66),1,0)</f>
        <v>0</v>
      </c>
      <c r="AE66" s="22">
        <f>IF(AND(AE$4&gt;=$D66,AE$4&lt;=$E66),1,0)</f>
        <v>0</v>
      </c>
      <c r="AF66" s="22">
        <f>IF(AND(AF$4&gt;=$D66,AF$4&lt;=$E66),1,0)</f>
        <v>0</v>
      </c>
      <c r="AG66" s="22">
        <f>IF(AND(AG$4&gt;=$D66,AG$4&lt;=$E66),1,0)</f>
        <v>0</v>
      </c>
      <c r="AH66" s="22">
        <f>IF(AND(AH$4&gt;=$D66,AH$4&lt;=$E66),1,0)</f>
        <v>0</v>
      </c>
      <c r="AI66" s="22">
        <f>IF(AND(AI$4&gt;=$D66,AI$4&lt;=$E66),1,0)</f>
        <v>0</v>
      </c>
      <c r="AJ66" s="22">
        <f>IF(AND(AJ$4&gt;=$D66,AJ$4&lt;=$E66),1,0)</f>
        <v>1</v>
      </c>
      <c r="AK66" s="22">
        <f>IF(AND(AK$4&gt;=$D66,AK$4&lt;=$E66),1,0)</f>
        <v>1</v>
      </c>
      <c r="AL66" s="22">
        <f>IF(AND(AL$4&gt;=$D66,AL$4&lt;=$E66),1,0)</f>
        <v>0</v>
      </c>
      <c r="AM66" s="22">
        <f>IF(AND(AM$4&gt;=$D66,AM$4&lt;=$E66),1,0)</f>
        <v>0</v>
      </c>
      <c r="AN66" s="22">
        <f>IF(AND(AN$4&gt;=$D66,AN$4&lt;=$E66),1,0)</f>
        <v>0</v>
      </c>
      <c r="AO66" s="22">
        <f>IF(AND(AO$4&gt;=$D66,AO$4&lt;=$E66),1,0)</f>
        <v>0</v>
      </c>
    </row>
    <row r="67" ht="30" customHeight="1">
      <c r="A67" s="11" t="inlineStr">
        <is>
          <t>T16-SV</t>
        </is>
      </c>
      <c r="B67" s="11" t="inlineStr">
        <is>
          <t>GM API, audit, metrics và backup jobs</t>
        </is>
      </c>
      <c r="C67" s="11" t="inlineStr">
        <is>
          <t>SV</t>
        </is>
      </c>
      <c r="D67" s="11">
        <f>'13_WBS'!G67</f>
        <v>31</v>
      </c>
      <c r="E67" s="11">
        <f>'13_WBS'!H67</f>
        <v>32</v>
      </c>
      <c r="F67" s="21">
        <f>IF(AND(F$4&gt;=$D67,F$4&lt;=$E67),1,0)</f>
        <v>0</v>
      </c>
      <c r="G67" s="21">
        <f>IF(AND(G$4&gt;=$D67,G$4&lt;=$E67),1,0)</f>
        <v>0</v>
      </c>
      <c r="H67" s="21">
        <f>IF(AND(H$4&gt;=$D67,H$4&lt;=$E67),1,0)</f>
        <v>0</v>
      </c>
      <c r="I67" s="21">
        <f>IF(AND(I$4&gt;=$D67,I$4&lt;=$E67),1,0)</f>
        <v>0</v>
      </c>
      <c r="J67" s="21">
        <f>IF(AND(J$4&gt;=$D67,J$4&lt;=$E67),1,0)</f>
        <v>0</v>
      </c>
      <c r="K67" s="21">
        <f>IF(AND(K$4&gt;=$D67,K$4&lt;=$E67),1,0)</f>
        <v>0</v>
      </c>
      <c r="L67" s="21">
        <f>IF(AND(L$4&gt;=$D67,L$4&lt;=$E67),1,0)</f>
        <v>0</v>
      </c>
      <c r="M67" s="21">
        <f>IF(AND(M$4&gt;=$D67,M$4&lt;=$E67),1,0)</f>
        <v>0</v>
      </c>
      <c r="N67" s="21">
        <f>IF(AND(N$4&gt;=$D67,N$4&lt;=$E67),1,0)</f>
        <v>0</v>
      </c>
      <c r="O67" s="21">
        <f>IF(AND(O$4&gt;=$D67,O$4&lt;=$E67),1,0)</f>
        <v>0</v>
      </c>
      <c r="P67" s="21">
        <f>IF(AND(P$4&gt;=$D67,P$4&lt;=$E67),1,0)</f>
        <v>0</v>
      </c>
      <c r="Q67" s="21">
        <f>IF(AND(Q$4&gt;=$D67,Q$4&lt;=$E67),1,0)</f>
        <v>0</v>
      </c>
      <c r="R67" s="21">
        <f>IF(AND(R$4&gt;=$D67,R$4&lt;=$E67),1,0)</f>
        <v>0</v>
      </c>
      <c r="S67" s="21">
        <f>IF(AND(S$4&gt;=$D67,S$4&lt;=$E67),1,0)</f>
        <v>0</v>
      </c>
      <c r="T67" s="21">
        <f>IF(AND(T$4&gt;=$D67,T$4&lt;=$E67),1,0)</f>
        <v>0</v>
      </c>
      <c r="U67" s="21">
        <f>IF(AND(U$4&gt;=$D67,U$4&lt;=$E67),1,0)</f>
        <v>0</v>
      </c>
      <c r="V67" s="21">
        <f>IF(AND(V$4&gt;=$D67,V$4&lt;=$E67),1,0)</f>
        <v>0</v>
      </c>
      <c r="W67" s="21">
        <f>IF(AND(W$4&gt;=$D67,W$4&lt;=$E67),1,0)</f>
        <v>0</v>
      </c>
      <c r="X67" s="21">
        <f>IF(AND(X$4&gt;=$D67,X$4&lt;=$E67),1,0)</f>
        <v>0</v>
      </c>
      <c r="Y67" s="21">
        <f>IF(AND(Y$4&gt;=$D67,Y$4&lt;=$E67),1,0)</f>
        <v>0</v>
      </c>
      <c r="Z67" s="21">
        <f>IF(AND(Z$4&gt;=$D67,Z$4&lt;=$E67),1,0)</f>
        <v>0</v>
      </c>
      <c r="AA67" s="21">
        <f>IF(AND(AA$4&gt;=$D67,AA$4&lt;=$E67),1,0)</f>
        <v>0</v>
      </c>
      <c r="AB67" s="21">
        <f>IF(AND(AB$4&gt;=$D67,AB$4&lt;=$E67),1,0)</f>
        <v>0</v>
      </c>
      <c r="AC67" s="21">
        <f>IF(AND(AC$4&gt;=$D67,AC$4&lt;=$E67),1,0)</f>
        <v>0</v>
      </c>
      <c r="AD67" s="21">
        <f>IF(AND(AD$4&gt;=$D67,AD$4&lt;=$E67),1,0)</f>
        <v>0</v>
      </c>
      <c r="AE67" s="21">
        <f>IF(AND(AE$4&gt;=$D67,AE$4&lt;=$E67),1,0)</f>
        <v>0</v>
      </c>
      <c r="AF67" s="21">
        <f>IF(AND(AF$4&gt;=$D67,AF$4&lt;=$E67),1,0)</f>
        <v>0</v>
      </c>
      <c r="AG67" s="21">
        <f>IF(AND(AG$4&gt;=$D67,AG$4&lt;=$E67),1,0)</f>
        <v>0</v>
      </c>
      <c r="AH67" s="21">
        <f>IF(AND(AH$4&gt;=$D67,AH$4&lt;=$E67),1,0)</f>
        <v>0</v>
      </c>
      <c r="AI67" s="21">
        <f>IF(AND(AI$4&gt;=$D67,AI$4&lt;=$E67),1,0)</f>
        <v>0</v>
      </c>
      <c r="AJ67" s="21">
        <f>IF(AND(AJ$4&gt;=$D67,AJ$4&lt;=$E67),1,0)</f>
        <v>1</v>
      </c>
      <c r="AK67" s="21">
        <f>IF(AND(AK$4&gt;=$D67,AK$4&lt;=$E67),1,0)</f>
        <v>1</v>
      </c>
      <c r="AL67" s="21">
        <f>IF(AND(AL$4&gt;=$D67,AL$4&lt;=$E67),1,0)</f>
        <v>0</v>
      </c>
      <c r="AM67" s="21">
        <f>IF(AND(AM$4&gt;=$D67,AM$4&lt;=$E67),1,0)</f>
        <v>0</v>
      </c>
      <c r="AN67" s="21">
        <f>IF(AND(AN$4&gt;=$D67,AN$4&lt;=$E67),1,0)</f>
        <v>0</v>
      </c>
      <c r="AO67" s="21">
        <f>IF(AND(AO$4&gt;=$D67,AO$4&lt;=$E67),1,0)</f>
        <v>0</v>
      </c>
    </row>
    <row r="68" ht="30" customHeight="1">
      <c r="A68" s="12" t="inlineStr">
        <is>
          <t>T16-AR</t>
        </is>
      </c>
      <c r="B68" s="12" t="inlineStr">
        <is>
          <t>Polish HUD, feed back và asset audit</t>
        </is>
      </c>
      <c r="C68" s="12" t="inlineStr">
        <is>
          <t>AR</t>
        </is>
      </c>
      <c r="D68" s="12">
        <f>'13_WBS'!G68</f>
        <v>31</v>
      </c>
      <c r="E68" s="12">
        <f>'13_WBS'!H68</f>
        <v>32</v>
      </c>
      <c r="F68" s="22">
        <f>IF(AND(F$4&gt;=$D68,F$4&lt;=$E68),1,0)</f>
        <v>0</v>
      </c>
      <c r="G68" s="22">
        <f>IF(AND(G$4&gt;=$D68,G$4&lt;=$E68),1,0)</f>
        <v>0</v>
      </c>
      <c r="H68" s="22">
        <f>IF(AND(H$4&gt;=$D68,H$4&lt;=$E68),1,0)</f>
        <v>0</v>
      </c>
      <c r="I68" s="22">
        <f>IF(AND(I$4&gt;=$D68,I$4&lt;=$E68),1,0)</f>
        <v>0</v>
      </c>
      <c r="J68" s="22">
        <f>IF(AND(J$4&gt;=$D68,J$4&lt;=$E68),1,0)</f>
        <v>0</v>
      </c>
      <c r="K68" s="22">
        <f>IF(AND(K$4&gt;=$D68,K$4&lt;=$E68),1,0)</f>
        <v>0</v>
      </c>
      <c r="L68" s="22">
        <f>IF(AND(L$4&gt;=$D68,L$4&lt;=$E68),1,0)</f>
        <v>0</v>
      </c>
      <c r="M68" s="22">
        <f>IF(AND(M$4&gt;=$D68,M$4&lt;=$E68),1,0)</f>
        <v>0</v>
      </c>
      <c r="N68" s="22">
        <f>IF(AND(N$4&gt;=$D68,N$4&lt;=$E68),1,0)</f>
        <v>0</v>
      </c>
      <c r="O68" s="22">
        <f>IF(AND(O$4&gt;=$D68,O$4&lt;=$E68),1,0)</f>
        <v>0</v>
      </c>
      <c r="P68" s="22">
        <f>IF(AND(P$4&gt;=$D68,P$4&lt;=$E68),1,0)</f>
        <v>0</v>
      </c>
      <c r="Q68" s="22">
        <f>IF(AND(Q$4&gt;=$D68,Q$4&lt;=$E68),1,0)</f>
        <v>0</v>
      </c>
      <c r="R68" s="22">
        <f>IF(AND(R$4&gt;=$D68,R$4&lt;=$E68),1,0)</f>
        <v>0</v>
      </c>
      <c r="S68" s="22">
        <f>IF(AND(S$4&gt;=$D68,S$4&lt;=$E68),1,0)</f>
        <v>0</v>
      </c>
      <c r="T68" s="22">
        <f>IF(AND(T$4&gt;=$D68,T$4&lt;=$E68),1,0)</f>
        <v>0</v>
      </c>
      <c r="U68" s="22">
        <f>IF(AND(U$4&gt;=$D68,U$4&lt;=$E68),1,0)</f>
        <v>0</v>
      </c>
      <c r="V68" s="22">
        <f>IF(AND(V$4&gt;=$D68,V$4&lt;=$E68),1,0)</f>
        <v>0</v>
      </c>
      <c r="W68" s="22">
        <f>IF(AND(W$4&gt;=$D68,W$4&lt;=$E68),1,0)</f>
        <v>0</v>
      </c>
      <c r="X68" s="22">
        <f>IF(AND(X$4&gt;=$D68,X$4&lt;=$E68),1,0)</f>
        <v>0</v>
      </c>
      <c r="Y68" s="22">
        <f>IF(AND(Y$4&gt;=$D68,Y$4&lt;=$E68),1,0)</f>
        <v>0</v>
      </c>
      <c r="Z68" s="22">
        <f>IF(AND(Z$4&gt;=$D68,Z$4&lt;=$E68),1,0)</f>
        <v>0</v>
      </c>
      <c r="AA68" s="22">
        <f>IF(AND(AA$4&gt;=$D68,AA$4&lt;=$E68),1,0)</f>
        <v>0</v>
      </c>
      <c r="AB68" s="22">
        <f>IF(AND(AB$4&gt;=$D68,AB$4&lt;=$E68),1,0)</f>
        <v>0</v>
      </c>
      <c r="AC68" s="22">
        <f>IF(AND(AC$4&gt;=$D68,AC$4&lt;=$E68),1,0)</f>
        <v>0</v>
      </c>
      <c r="AD68" s="22">
        <f>IF(AND(AD$4&gt;=$D68,AD$4&lt;=$E68),1,0)</f>
        <v>0</v>
      </c>
      <c r="AE68" s="22">
        <f>IF(AND(AE$4&gt;=$D68,AE$4&lt;=$E68),1,0)</f>
        <v>0</v>
      </c>
      <c r="AF68" s="22">
        <f>IF(AND(AF$4&gt;=$D68,AF$4&lt;=$E68),1,0)</f>
        <v>0</v>
      </c>
      <c r="AG68" s="22">
        <f>IF(AND(AG$4&gt;=$D68,AG$4&lt;=$E68),1,0)</f>
        <v>0</v>
      </c>
      <c r="AH68" s="22">
        <f>IF(AND(AH$4&gt;=$D68,AH$4&lt;=$E68),1,0)</f>
        <v>0</v>
      </c>
      <c r="AI68" s="22">
        <f>IF(AND(AI$4&gt;=$D68,AI$4&lt;=$E68),1,0)</f>
        <v>0</v>
      </c>
      <c r="AJ68" s="22">
        <f>IF(AND(AJ$4&gt;=$D68,AJ$4&lt;=$E68),1,0)</f>
        <v>1</v>
      </c>
      <c r="AK68" s="22">
        <f>IF(AND(AK$4&gt;=$D68,AK$4&lt;=$E68),1,0)</f>
        <v>1</v>
      </c>
      <c r="AL68" s="22">
        <f>IF(AND(AL$4&gt;=$D68,AL$4&lt;=$E68),1,0)</f>
        <v>0</v>
      </c>
      <c r="AM68" s="22">
        <f>IF(AND(AM$4&gt;=$D68,AM$4&lt;=$E68),1,0)</f>
        <v>0</v>
      </c>
      <c r="AN68" s="22">
        <f>IF(AND(AN$4&gt;=$D68,AN$4&lt;=$E68),1,0)</f>
        <v>0</v>
      </c>
      <c r="AO68" s="22">
        <f>IF(AND(AO$4&gt;=$D68,AO$4&lt;=$E68),1,0)</f>
        <v>0</v>
      </c>
    </row>
    <row r="69" ht="30" customHeight="1">
      <c r="A69" s="11" t="inlineStr">
        <is>
          <t>T17-GD</t>
        </is>
      </c>
      <c r="B69" s="11" t="inlineStr">
        <is>
          <t>UAT, soak test phối hợp và phân loại lỗi</t>
        </is>
      </c>
      <c r="C69" s="11" t="inlineStr">
        <is>
          <t>GD</t>
        </is>
      </c>
      <c r="D69" s="11">
        <f>'13_WBS'!G69</f>
        <v>33</v>
      </c>
      <c r="E69" s="11">
        <f>'13_WBS'!H69</f>
        <v>34</v>
      </c>
      <c r="F69" s="21">
        <f>IF(AND(F$4&gt;=$D69,F$4&lt;=$E69),1,0)</f>
        <v>0</v>
      </c>
      <c r="G69" s="21">
        <f>IF(AND(G$4&gt;=$D69,G$4&lt;=$E69),1,0)</f>
        <v>0</v>
      </c>
      <c r="H69" s="21">
        <f>IF(AND(H$4&gt;=$D69,H$4&lt;=$E69),1,0)</f>
        <v>0</v>
      </c>
      <c r="I69" s="21">
        <f>IF(AND(I$4&gt;=$D69,I$4&lt;=$E69),1,0)</f>
        <v>0</v>
      </c>
      <c r="J69" s="21">
        <f>IF(AND(J$4&gt;=$D69,J$4&lt;=$E69),1,0)</f>
        <v>0</v>
      </c>
      <c r="K69" s="21">
        <f>IF(AND(K$4&gt;=$D69,K$4&lt;=$E69),1,0)</f>
        <v>0</v>
      </c>
      <c r="L69" s="21">
        <f>IF(AND(L$4&gt;=$D69,L$4&lt;=$E69),1,0)</f>
        <v>0</v>
      </c>
      <c r="M69" s="21">
        <f>IF(AND(M$4&gt;=$D69,M$4&lt;=$E69),1,0)</f>
        <v>0</v>
      </c>
      <c r="N69" s="21">
        <f>IF(AND(N$4&gt;=$D69,N$4&lt;=$E69),1,0)</f>
        <v>0</v>
      </c>
      <c r="O69" s="21">
        <f>IF(AND(O$4&gt;=$D69,O$4&lt;=$E69),1,0)</f>
        <v>0</v>
      </c>
      <c r="P69" s="21">
        <f>IF(AND(P$4&gt;=$D69,P$4&lt;=$E69),1,0)</f>
        <v>0</v>
      </c>
      <c r="Q69" s="21">
        <f>IF(AND(Q$4&gt;=$D69,Q$4&lt;=$E69),1,0)</f>
        <v>0</v>
      </c>
      <c r="R69" s="21">
        <f>IF(AND(R$4&gt;=$D69,R$4&lt;=$E69),1,0)</f>
        <v>0</v>
      </c>
      <c r="S69" s="21">
        <f>IF(AND(S$4&gt;=$D69,S$4&lt;=$E69),1,0)</f>
        <v>0</v>
      </c>
      <c r="T69" s="21">
        <f>IF(AND(T$4&gt;=$D69,T$4&lt;=$E69),1,0)</f>
        <v>0</v>
      </c>
      <c r="U69" s="21">
        <f>IF(AND(U$4&gt;=$D69,U$4&lt;=$E69),1,0)</f>
        <v>0</v>
      </c>
      <c r="V69" s="21">
        <f>IF(AND(V$4&gt;=$D69,V$4&lt;=$E69),1,0)</f>
        <v>0</v>
      </c>
      <c r="W69" s="21">
        <f>IF(AND(W$4&gt;=$D69,W$4&lt;=$E69),1,0)</f>
        <v>0</v>
      </c>
      <c r="X69" s="21">
        <f>IF(AND(X$4&gt;=$D69,X$4&lt;=$E69),1,0)</f>
        <v>0</v>
      </c>
      <c r="Y69" s="21">
        <f>IF(AND(Y$4&gt;=$D69,Y$4&lt;=$E69),1,0)</f>
        <v>0</v>
      </c>
      <c r="Z69" s="21">
        <f>IF(AND(Z$4&gt;=$D69,Z$4&lt;=$E69),1,0)</f>
        <v>0</v>
      </c>
      <c r="AA69" s="21">
        <f>IF(AND(AA$4&gt;=$D69,AA$4&lt;=$E69),1,0)</f>
        <v>0</v>
      </c>
      <c r="AB69" s="21">
        <f>IF(AND(AB$4&gt;=$D69,AB$4&lt;=$E69),1,0)</f>
        <v>0</v>
      </c>
      <c r="AC69" s="21">
        <f>IF(AND(AC$4&gt;=$D69,AC$4&lt;=$E69),1,0)</f>
        <v>0</v>
      </c>
      <c r="AD69" s="21">
        <f>IF(AND(AD$4&gt;=$D69,AD$4&lt;=$E69),1,0)</f>
        <v>0</v>
      </c>
      <c r="AE69" s="21">
        <f>IF(AND(AE$4&gt;=$D69,AE$4&lt;=$E69),1,0)</f>
        <v>0</v>
      </c>
      <c r="AF69" s="21">
        <f>IF(AND(AF$4&gt;=$D69,AF$4&lt;=$E69),1,0)</f>
        <v>0</v>
      </c>
      <c r="AG69" s="21">
        <f>IF(AND(AG$4&gt;=$D69,AG$4&lt;=$E69),1,0)</f>
        <v>0</v>
      </c>
      <c r="AH69" s="21">
        <f>IF(AND(AH$4&gt;=$D69,AH$4&lt;=$E69),1,0)</f>
        <v>0</v>
      </c>
      <c r="AI69" s="21">
        <f>IF(AND(AI$4&gt;=$D69,AI$4&lt;=$E69),1,0)</f>
        <v>0</v>
      </c>
      <c r="AJ69" s="21">
        <f>IF(AND(AJ$4&gt;=$D69,AJ$4&lt;=$E69),1,0)</f>
        <v>0</v>
      </c>
      <c r="AK69" s="21">
        <f>IF(AND(AK$4&gt;=$D69,AK$4&lt;=$E69),1,0)</f>
        <v>0</v>
      </c>
      <c r="AL69" s="21">
        <f>IF(AND(AL$4&gt;=$D69,AL$4&lt;=$E69),1,0)</f>
        <v>1</v>
      </c>
      <c r="AM69" s="21">
        <f>IF(AND(AM$4&gt;=$D69,AM$4&lt;=$E69),1,0)</f>
        <v>1</v>
      </c>
      <c r="AN69" s="21">
        <f>IF(AND(AN$4&gt;=$D69,AN$4&lt;=$E69),1,0)</f>
        <v>0</v>
      </c>
      <c r="AO69" s="21">
        <f>IF(AND(AO$4&gt;=$D69,AO$4&lt;=$E69),1,0)</f>
        <v>0</v>
      </c>
    </row>
    <row r="70" ht="30" customHeight="1">
      <c r="A70" s="12" t="inlineStr">
        <is>
          <t>T17-CL</t>
        </is>
      </c>
      <c r="B70" s="12" t="inlineStr">
        <is>
          <t>Tối ưu client và sửa lỗi UAT</t>
        </is>
      </c>
      <c r="C70" s="12" t="inlineStr">
        <is>
          <t>CL</t>
        </is>
      </c>
      <c r="D70" s="12">
        <f>'13_WBS'!G70</f>
        <v>33</v>
      </c>
      <c r="E70" s="12">
        <f>'13_WBS'!H70</f>
        <v>34</v>
      </c>
      <c r="F70" s="22">
        <f>IF(AND(F$4&gt;=$D70,F$4&lt;=$E70),1,0)</f>
        <v>0</v>
      </c>
      <c r="G70" s="22">
        <f>IF(AND(G$4&gt;=$D70,G$4&lt;=$E70),1,0)</f>
        <v>0</v>
      </c>
      <c r="H70" s="22">
        <f>IF(AND(H$4&gt;=$D70,H$4&lt;=$E70),1,0)</f>
        <v>0</v>
      </c>
      <c r="I70" s="22">
        <f>IF(AND(I$4&gt;=$D70,I$4&lt;=$E70),1,0)</f>
        <v>0</v>
      </c>
      <c r="J70" s="22">
        <f>IF(AND(J$4&gt;=$D70,J$4&lt;=$E70),1,0)</f>
        <v>0</v>
      </c>
      <c r="K70" s="22">
        <f>IF(AND(K$4&gt;=$D70,K$4&lt;=$E70),1,0)</f>
        <v>0</v>
      </c>
      <c r="L70" s="22">
        <f>IF(AND(L$4&gt;=$D70,L$4&lt;=$E70),1,0)</f>
        <v>0</v>
      </c>
      <c r="M70" s="22">
        <f>IF(AND(M$4&gt;=$D70,M$4&lt;=$E70),1,0)</f>
        <v>0</v>
      </c>
      <c r="N70" s="22">
        <f>IF(AND(N$4&gt;=$D70,N$4&lt;=$E70),1,0)</f>
        <v>0</v>
      </c>
      <c r="O70" s="22">
        <f>IF(AND(O$4&gt;=$D70,O$4&lt;=$E70),1,0)</f>
        <v>0</v>
      </c>
      <c r="P70" s="22">
        <f>IF(AND(P$4&gt;=$D70,P$4&lt;=$E70),1,0)</f>
        <v>0</v>
      </c>
      <c r="Q70" s="22">
        <f>IF(AND(Q$4&gt;=$D70,Q$4&lt;=$E70),1,0)</f>
        <v>0</v>
      </c>
      <c r="R70" s="22">
        <f>IF(AND(R$4&gt;=$D70,R$4&lt;=$E70),1,0)</f>
        <v>0</v>
      </c>
      <c r="S70" s="22">
        <f>IF(AND(S$4&gt;=$D70,S$4&lt;=$E70),1,0)</f>
        <v>0</v>
      </c>
      <c r="T70" s="22">
        <f>IF(AND(T$4&gt;=$D70,T$4&lt;=$E70),1,0)</f>
        <v>0</v>
      </c>
      <c r="U70" s="22">
        <f>IF(AND(U$4&gt;=$D70,U$4&lt;=$E70),1,0)</f>
        <v>0</v>
      </c>
      <c r="V70" s="22">
        <f>IF(AND(V$4&gt;=$D70,V$4&lt;=$E70),1,0)</f>
        <v>0</v>
      </c>
      <c r="W70" s="22">
        <f>IF(AND(W$4&gt;=$D70,W$4&lt;=$E70),1,0)</f>
        <v>0</v>
      </c>
      <c r="X70" s="22">
        <f>IF(AND(X$4&gt;=$D70,X$4&lt;=$E70),1,0)</f>
        <v>0</v>
      </c>
      <c r="Y70" s="22">
        <f>IF(AND(Y$4&gt;=$D70,Y$4&lt;=$E70),1,0)</f>
        <v>0</v>
      </c>
      <c r="Z70" s="22">
        <f>IF(AND(Z$4&gt;=$D70,Z$4&lt;=$E70),1,0)</f>
        <v>0</v>
      </c>
      <c r="AA70" s="22">
        <f>IF(AND(AA$4&gt;=$D70,AA$4&lt;=$E70),1,0)</f>
        <v>0</v>
      </c>
      <c r="AB70" s="22">
        <f>IF(AND(AB$4&gt;=$D70,AB$4&lt;=$E70),1,0)</f>
        <v>0</v>
      </c>
      <c r="AC70" s="22">
        <f>IF(AND(AC$4&gt;=$D70,AC$4&lt;=$E70),1,0)</f>
        <v>0</v>
      </c>
      <c r="AD70" s="22">
        <f>IF(AND(AD$4&gt;=$D70,AD$4&lt;=$E70),1,0)</f>
        <v>0</v>
      </c>
      <c r="AE70" s="22">
        <f>IF(AND(AE$4&gt;=$D70,AE$4&lt;=$E70),1,0)</f>
        <v>0</v>
      </c>
      <c r="AF70" s="22">
        <f>IF(AND(AF$4&gt;=$D70,AF$4&lt;=$E70),1,0)</f>
        <v>0</v>
      </c>
      <c r="AG70" s="22">
        <f>IF(AND(AG$4&gt;=$D70,AG$4&lt;=$E70),1,0)</f>
        <v>0</v>
      </c>
      <c r="AH70" s="22">
        <f>IF(AND(AH$4&gt;=$D70,AH$4&lt;=$E70),1,0)</f>
        <v>0</v>
      </c>
      <c r="AI70" s="22">
        <f>IF(AND(AI$4&gt;=$D70,AI$4&lt;=$E70),1,0)</f>
        <v>0</v>
      </c>
      <c r="AJ70" s="22">
        <f>IF(AND(AJ$4&gt;=$D70,AJ$4&lt;=$E70),1,0)</f>
        <v>0</v>
      </c>
      <c r="AK70" s="22">
        <f>IF(AND(AK$4&gt;=$D70,AK$4&lt;=$E70),1,0)</f>
        <v>0</v>
      </c>
      <c r="AL70" s="22">
        <f>IF(AND(AL$4&gt;=$D70,AL$4&lt;=$E70),1,0)</f>
        <v>1</v>
      </c>
      <c r="AM70" s="22">
        <f>IF(AND(AM$4&gt;=$D70,AM$4&lt;=$E70),1,0)</f>
        <v>1</v>
      </c>
      <c r="AN70" s="22">
        <f>IF(AND(AN$4&gt;=$D70,AN$4&lt;=$E70),1,0)</f>
        <v>0</v>
      </c>
      <c r="AO70" s="22">
        <f>IF(AND(AO$4&gt;=$D70,AO$4&lt;=$E70),1,0)</f>
        <v>0</v>
      </c>
    </row>
    <row r="71" ht="30" customHeight="1">
      <c r="A71" s="11" t="inlineStr">
        <is>
          <t>T17-SV</t>
        </is>
      </c>
      <c r="B71" s="11" t="inlineStr">
        <is>
          <t>Load/fault/security và tối ưu server</t>
        </is>
      </c>
      <c r="C71" s="11" t="inlineStr">
        <is>
          <t>SV</t>
        </is>
      </c>
      <c r="D71" s="11">
        <f>'13_WBS'!G71</f>
        <v>33</v>
      </c>
      <c r="E71" s="11">
        <f>'13_WBS'!H71</f>
        <v>34</v>
      </c>
      <c r="F71" s="21">
        <f>IF(AND(F$4&gt;=$D71,F$4&lt;=$E71),1,0)</f>
        <v>0</v>
      </c>
      <c r="G71" s="21">
        <f>IF(AND(G$4&gt;=$D71,G$4&lt;=$E71),1,0)</f>
        <v>0</v>
      </c>
      <c r="H71" s="21">
        <f>IF(AND(H$4&gt;=$D71,H$4&lt;=$E71),1,0)</f>
        <v>0</v>
      </c>
      <c r="I71" s="21">
        <f>IF(AND(I$4&gt;=$D71,I$4&lt;=$E71),1,0)</f>
        <v>0</v>
      </c>
      <c r="J71" s="21">
        <f>IF(AND(J$4&gt;=$D71,J$4&lt;=$E71),1,0)</f>
        <v>0</v>
      </c>
      <c r="K71" s="21">
        <f>IF(AND(K$4&gt;=$D71,K$4&lt;=$E71),1,0)</f>
        <v>0</v>
      </c>
      <c r="L71" s="21">
        <f>IF(AND(L$4&gt;=$D71,L$4&lt;=$E71),1,0)</f>
        <v>0</v>
      </c>
      <c r="M71" s="21">
        <f>IF(AND(M$4&gt;=$D71,M$4&lt;=$E71),1,0)</f>
        <v>0</v>
      </c>
      <c r="N71" s="21">
        <f>IF(AND(N$4&gt;=$D71,N$4&lt;=$E71),1,0)</f>
        <v>0</v>
      </c>
      <c r="O71" s="21">
        <f>IF(AND(O$4&gt;=$D71,O$4&lt;=$E71),1,0)</f>
        <v>0</v>
      </c>
      <c r="P71" s="21">
        <f>IF(AND(P$4&gt;=$D71,P$4&lt;=$E71),1,0)</f>
        <v>0</v>
      </c>
      <c r="Q71" s="21">
        <f>IF(AND(Q$4&gt;=$D71,Q$4&lt;=$E71),1,0)</f>
        <v>0</v>
      </c>
      <c r="R71" s="21">
        <f>IF(AND(R$4&gt;=$D71,R$4&lt;=$E71),1,0)</f>
        <v>0</v>
      </c>
      <c r="S71" s="21">
        <f>IF(AND(S$4&gt;=$D71,S$4&lt;=$E71),1,0)</f>
        <v>0</v>
      </c>
      <c r="T71" s="21">
        <f>IF(AND(T$4&gt;=$D71,T$4&lt;=$E71),1,0)</f>
        <v>0</v>
      </c>
      <c r="U71" s="21">
        <f>IF(AND(U$4&gt;=$D71,U$4&lt;=$E71),1,0)</f>
        <v>0</v>
      </c>
      <c r="V71" s="21">
        <f>IF(AND(V$4&gt;=$D71,V$4&lt;=$E71),1,0)</f>
        <v>0</v>
      </c>
      <c r="W71" s="21">
        <f>IF(AND(W$4&gt;=$D71,W$4&lt;=$E71),1,0)</f>
        <v>0</v>
      </c>
      <c r="X71" s="21">
        <f>IF(AND(X$4&gt;=$D71,X$4&lt;=$E71),1,0)</f>
        <v>0</v>
      </c>
      <c r="Y71" s="21">
        <f>IF(AND(Y$4&gt;=$D71,Y$4&lt;=$E71),1,0)</f>
        <v>0</v>
      </c>
      <c r="Z71" s="21">
        <f>IF(AND(Z$4&gt;=$D71,Z$4&lt;=$E71),1,0)</f>
        <v>0</v>
      </c>
      <c r="AA71" s="21">
        <f>IF(AND(AA$4&gt;=$D71,AA$4&lt;=$E71),1,0)</f>
        <v>0</v>
      </c>
      <c r="AB71" s="21">
        <f>IF(AND(AB$4&gt;=$D71,AB$4&lt;=$E71),1,0)</f>
        <v>0</v>
      </c>
      <c r="AC71" s="21">
        <f>IF(AND(AC$4&gt;=$D71,AC$4&lt;=$E71),1,0)</f>
        <v>0</v>
      </c>
      <c r="AD71" s="21">
        <f>IF(AND(AD$4&gt;=$D71,AD$4&lt;=$E71),1,0)</f>
        <v>0</v>
      </c>
      <c r="AE71" s="21">
        <f>IF(AND(AE$4&gt;=$D71,AE$4&lt;=$E71),1,0)</f>
        <v>0</v>
      </c>
      <c r="AF71" s="21">
        <f>IF(AND(AF$4&gt;=$D71,AF$4&lt;=$E71),1,0)</f>
        <v>0</v>
      </c>
      <c r="AG71" s="21">
        <f>IF(AND(AG$4&gt;=$D71,AG$4&lt;=$E71),1,0)</f>
        <v>0</v>
      </c>
      <c r="AH71" s="21">
        <f>IF(AND(AH$4&gt;=$D71,AH$4&lt;=$E71),1,0)</f>
        <v>0</v>
      </c>
      <c r="AI71" s="21">
        <f>IF(AND(AI$4&gt;=$D71,AI$4&lt;=$E71),1,0)</f>
        <v>0</v>
      </c>
      <c r="AJ71" s="21">
        <f>IF(AND(AJ$4&gt;=$D71,AJ$4&lt;=$E71),1,0)</f>
        <v>0</v>
      </c>
      <c r="AK71" s="21">
        <f>IF(AND(AK$4&gt;=$D71,AK$4&lt;=$E71),1,0)</f>
        <v>0</v>
      </c>
      <c r="AL71" s="21">
        <f>IF(AND(AL$4&gt;=$D71,AL$4&lt;=$E71),1,0)</f>
        <v>1</v>
      </c>
      <c r="AM71" s="21">
        <f>IF(AND(AM$4&gt;=$D71,AM$4&lt;=$E71),1,0)</f>
        <v>1</v>
      </c>
      <c r="AN71" s="21">
        <f>IF(AND(AN$4&gt;=$D71,AN$4&lt;=$E71),1,0)</f>
        <v>0</v>
      </c>
      <c r="AO71" s="21">
        <f>IF(AND(AO$4&gt;=$D71,AO$4&lt;=$E71),1,0)</f>
        <v>0</v>
      </c>
    </row>
    <row r="72" ht="30" customHeight="1">
      <c r="A72" s="12" t="inlineStr">
        <is>
          <t>T17-AR</t>
        </is>
      </c>
      <c r="B72" s="12" t="inlineStr">
        <is>
          <t>Atlas, compression và pass đọc hình</t>
        </is>
      </c>
      <c r="C72" s="12" t="inlineStr">
        <is>
          <t>AR</t>
        </is>
      </c>
      <c r="D72" s="12">
        <f>'13_WBS'!G72</f>
        <v>33</v>
      </c>
      <c r="E72" s="12">
        <f>'13_WBS'!H72</f>
        <v>34</v>
      </c>
      <c r="F72" s="22">
        <f>IF(AND(F$4&gt;=$D72,F$4&lt;=$E72),1,0)</f>
        <v>0</v>
      </c>
      <c r="G72" s="22">
        <f>IF(AND(G$4&gt;=$D72,G$4&lt;=$E72),1,0)</f>
        <v>0</v>
      </c>
      <c r="H72" s="22">
        <f>IF(AND(H$4&gt;=$D72,H$4&lt;=$E72),1,0)</f>
        <v>0</v>
      </c>
      <c r="I72" s="22">
        <f>IF(AND(I$4&gt;=$D72,I$4&lt;=$E72),1,0)</f>
        <v>0</v>
      </c>
      <c r="J72" s="22">
        <f>IF(AND(J$4&gt;=$D72,J$4&lt;=$E72),1,0)</f>
        <v>0</v>
      </c>
      <c r="K72" s="22">
        <f>IF(AND(K$4&gt;=$D72,K$4&lt;=$E72),1,0)</f>
        <v>0</v>
      </c>
      <c r="L72" s="22">
        <f>IF(AND(L$4&gt;=$D72,L$4&lt;=$E72),1,0)</f>
        <v>0</v>
      </c>
      <c r="M72" s="22">
        <f>IF(AND(M$4&gt;=$D72,M$4&lt;=$E72),1,0)</f>
        <v>0</v>
      </c>
      <c r="N72" s="22">
        <f>IF(AND(N$4&gt;=$D72,N$4&lt;=$E72),1,0)</f>
        <v>0</v>
      </c>
      <c r="O72" s="22">
        <f>IF(AND(O$4&gt;=$D72,O$4&lt;=$E72),1,0)</f>
        <v>0</v>
      </c>
      <c r="P72" s="22">
        <f>IF(AND(P$4&gt;=$D72,P$4&lt;=$E72),1,0)</f>
        <v>0</v>
      </c>
      <c r="Q72" s="22">
        <f>IF(AND(Q$4&gt;=$D72,Q$4&lt;=$E72),1,0)</f>
        <v>0</v>
      </c>
      <c r="R72" s="22">
        <f>IF(AND(R$4&gt;=$D72,R$4&lt;=$E72),1,0)</f>
        <v>0</v>
      </c>
      <c r="S72" s="22">
        <f>IF(AND(S$4&gt;=$D72,S$4&lt;=$E72),1,0)</f>
        <v>0</v>
      </c>
      <c r="T72" s="22">
        <f>IF(AND(T$4&gt;=$D72,T$4&lt;=$E72),1,0)</f>
        <v>0</v>
      </c>
      <c r="U72" s="22">
        <f>IF(AND(U$4&gt;=$D72,U$4&lt;=$E72),1,0)</f>
        <v>0</v>
      </c>
      <c r="V72" s="22">
        <f>IF(AND(V$4&gt;=$D72,V$4&lt;=$E72),1,0)</f>
        <v>0</v>
      </c>
      <c r="W72" s="22">
        <f>IF(AND(W$4&gt;=$D72,W$4&lt;=$E72),1,0)</f>
        <v>0</v>
      </c>
      <c r="X72" s="22">
        <f>IF(AND(X$4&gt;=$D72,X$4&lt;=$E72),1,0)</f>
        <v>0</v>
      </c>
      <c r="Y72" s="22">
        <f>IF(AND(Y$4&gt;=$D72,Y$4&lt;=$E72),1,0)</f>
        <v>0</v>
      </c>
      <c r="Z72" s="22">
        <f>IF(AND(Z$4&gt;=$D72,Z$4&lt;=$E72),1,0)</f>
        <v>0</v>
      </c>
      <c r="AA72" s="22">
        <f>IF(AND(AA$4&gt;=$D72,AA$4&lt;=$E72),1,0)</f>
        <v>0</v>
      </c>
      <c r="AB72" s="22">
        <f>IF(AND(AB$4&gt;=$D72,AB$4&lt;=$E72),1,0)</f>
        <v>0</v>
      </c>
      <c r="AC72" s="22">
        <f>IF(AND(AC$4&gt;=$D72,AC$4&lt;=$E72),1,0)</f>
        <v>0</v>
      </c>
      <c r="AD72" s="22">
        <f>IF(AND(AD$4&gt;=$D72,AD$4&lt;=$E72),1,0)</f>
        <v>0</v>
      </c>
      <c r="AE72" s="22">
        <f>IF(AND(AE$4&gt;=$D72,AE$4&lt;=$E72),1,0)</f>
        <v>0</v>
      </c>
      <c r="AF72" s="22">
        <f>IF(AND(AF$4&gt;=$D72,AF$4&lt;=$E72),1,0)</f>
        <v>0</v>
      </c>
      <c r="AG72" s="22">
        <f>IF(AND(AG$4&gt;=$D72,AG$4&lt;=$E72),1,0)</f>
        <v>0</v>
      </c>
      <c r="AH72" s="22">
        <f>IF(AND(AH$4&gt;=$D72,AH$4&lt;=$E72),1,0)</f>
        <v>0</v>
      </c>
      <c r="AI72" s="22">
        <f>IF(AND(AI$4&gt;=$D72,AI$4&lt;=$E72),1,0)</f>
        <v>0</v>
      </c>
      <c r="AJ72" s="22">
        <f>IF(AND(AJ$4&gt;=$D72,AJ$4&lt;=$E72),1,0)</f>
        <v>0</v>
      </c>
      <c r="AK72" s="22">
        <f>IF(AND(AK$4&gt;=$D72,AK$4&lt;=$E72),1,0)</f>
        <v>0</v>
      </c>
      <c r="AL72" s="22">
        <f>IF(AND(AL$4&gt;=$D72,AL$4&lt;=$E72),1,0)</f>
        <v>1</v>
      </c>
      <c r="AM72" s="22">
        <f>IF(AND(AM$4&gt;=$D72,AM$4&lt;=$E72),1,0)</f>
        <v>1</v>
      </c>
      <c r="AN72" s="22">
        <f>IF(AND(AN$4&gt;=$D72,AN$4&lt;=$E72),1,0)</f>
        <v>0</v>
      </c>
      <c r="AO72" s="22">
        <f>IF(AND(AO$4&gt;=$D72,AO$4&lt;=$E72),1,0)</f>
        <v>0</v>
      </c>
    </row>
    <row r="73" ht="30" customHeight="1">
      <c r="A73" s="11" t="inlineStr">
        <is>
          <t>T18-GD</t>
        </is>
      </c>
      <c r="B73" s="11" t="inlineStr">
        <is>
          <t>Gate G5 — release check list và alpha report</t>
        </is>
      </c>
      <c r="C73" s="11" t="inlineStr">
        <is>
          <t>GD</t>
        </is>
      </c>
      <c r="D73" s="11">
        <f>'13_WBS'!G73</f>
        <v>35</v>
      </c>
      <c r="E73" s="11">
        <f>'13_WBS'!H73</f>
        <v>36</v>
      </c>
      <c r="F73" s="21">
        <f>IF(AND(F$4&gt;=$D73,F$4&lt;=$E73),1,0)</f>
        <v>0</v>
      </c>
      <c r="G73" s="21">
        <f>IF(AND(G$4&gt;=$D73,G$4&lt;=$E73),1,0)</f>
        <v>0</v>
      </c>
      <c r="H73" s="21">
        <f>IF(AND(H$4&gt;=$D73,H$4&lt;=$E73),1,0)</f>
        <v>0</v>
      </c>
      <c r="I73" s="21">
        <f>IF(AND(I$4&gt;=$D73,I$4&lt;=$E73),1,0)</f>
        <v>0</v>
      </c>
      <c r="J73" s="21">
        <f>IF(AND(J$4&gt;=$D73,J$4&lt;=$E73),1,0)</f>
        <v>0</v>
      </c>
      <c r="K73" s="21">
        <f>IF(AND(K$4&gt;=$D73,K$4&lt;=$E73),1,0)</f>
        <v>0</v>
      </c>
      <c r="L73" s="21">
        <f>IF(AND(L$4&gt;=$D73,L$4&lt;=$E73),1,0)</f>
        <v>0</v>
      </c>
      <c r="M73" s="21">
        <f>IF(AND(M$4&gt;=$D73,M$4&lt;=$E73),1,0)</f>
        <v>0</v>
      </c>
      <c r="N73" s="21">
        <f>IF(AND(N$4&gt;=$D73,N$4&lt;=$E73),1,0)</f>
        <v>0</v>
      </c>
      <c r="O73" s="21">
        <f>IF(AND(O$4&gt;=$D73,O$4&lt;=$E73),1,0)</f>
        <v>0</v>
      </c>
      <c r="P73" s="21">
        <f>IF(AND(P$4&gt;=$D73,P$4&lt;=$E73),1,0)</f>
        <v>0</v>
      </c>
      <c r="Q73" s="21">
        <f>IF(AND(Q$4&gt;=$D73,Q$4&lt;=$E73),1,0)</f>
        <v>0</v>
      </c>
      <c r="R73" s="21">
        <f>IF(AND(R$4&gt;=$D73,R$4&lt;=$E73),1,0)</f>
        <v>0</v>
      </c>
      <c r="S73" s="21">
        <f>IF(AND(S$4&gt;=$D73,S$4&lt;=$E73),1,0)</f>
        <v>0</v>
      </c>
      <c r="T73" s="21">
        <f>IF(AND(T$4&gt;=$D73,T$4&lt;=$E73),1,0)</f>
        <v>0</v>
      </c>
      <c r="U73" s="21">
        <f>IF(AND(U$4&gt;=$D73,U$4&lt;=$E73),1,0)</f>
        <v>0</v>
      </c>
      <c r="V73" s="21">
        <f>IF(AND(V$4&gt;=$D73,V$4&lt;=$E73),1,0)</f>
        <v>0</v>
      </c>
      <c r="W73" s="21">
        <f>IF(AND(W$4&gt;=$D73,W$4&lt;=$E73),1,0)</f>
        <v>0</v>
      </c>
      <c r="X73" s="21">
        <f>IF(AND(X$4&gt;=$D73,X$4&lt;=$E73),1,0)</f>
        <v>0</v>
      </c>
      <c r="Y73" s="21">
        <f>IF(AND(Y$4&gt;=$D73,Y$4&lt;=$E73),1,0)</f>
        <v>0</v>
      </c>
      <c r="Z73" s="21">
        <f>IF(AND(Z$4&gt;=$D73,Z$4&lt;=$E73),1,0)</f>
        <v>0</v>
      </c>
      <c r="AA73" s="21">
        <f>IF(AND(AA$4&gt;=$D73,AA$4&lt;=$E73),1,0)</f>
        <v>0</v>
      </c>
      <c r="AB73" s="21">
        <f>IF(AND(AB$4&gt;=$D73,AB$4&lt;=$E73),1,0)</f>
        <v>0</v>
      </c>
      <c r="AC73" s="21">
        <f>IF(AND(AC$4&gt;=$D73,AC$4&lt;=$E73),1,0)</f>
        <v>0</v>
      </c>
      <c r="AD73" s="21">
        <f>IF(AND(AD$4&gt;=$D73,AD$4&lt;=$E73),1,0)</f>
        <v>0</v>
      </c>
      <c r="AE73" s="21">
        <f>IF(AND(AE$4&gt;=$D73,AE$4&lt;=$E73),1,0)</f>
        <v>0</v>
      </c>
      <c r="AF73" s="21">
        <f>IF(AND(AF$4&gt;=$D73,AF$4&lt;=$E73),1,0)</f>
        <v>0</v>
      </c>
      <c r="AG73" s="21">
        <f>IF(AND(AG$4&gt;=$D73,AG$4&lt;=$E73),1,0)</f>
        <v>0</v>
      </c>
      <c r="AH73" s="21">
        <f>IF(AND(AH$4&gt;=$D73,AH$4&lt;=$E73),1,0)</f>
        <v>0</v>
      </c>
      <c r="AI73" s="21">
        <f>IF(AND(AI$4&gt;=$D73,AI$4&lt;=$E73),1,0)</f>
        <v>0</v>
      </c>
      <c r="AJ73" s="21">
        <f>IF(AND(AJ$4&gt;=$D73,AJ$4&lt;=$E73),1,0)</f>
        <v>0</v>
      </c>
      <c r="AK73" s="21">
        <f>IF(AND(AK$4&gt;=$D73,AK$4&lt;=$E73),1,0)</f>
        <v>0</v>
      </c>
      <c r="AL73" s="21">
        <f>IF(AND(AL$4&gt;=$D73,AL$4&lt;=$E73),1,0)</f>
        <v>0</v>
      </c>
      <c r="AM73" s="21">
        <f>IF(AND(AM$4&gt;=$D73,AM$4&lt;=$E73),1,0)</f>
        <v>0</v>
      </c>
      <c r="AN73" s="21">
        <f>IF(AND(AN$4&gt;=$D73,AN$4&lt;=$E73),1,0)</f>
        <v>1</v>
      </c>
      <c r="AO73" s="21">
        <f>IF(AND(AO$4&gt;=$D73,AO$4&lt;=$E73),1,0)</f>
        <v>1</v>
      </c>
    </row>
    <row r="74" ht="30" customHeight="1">
      <c r="A74" s="12" t="inlineStr">
        <is>
          <t>T18-CL</t>
        </is>
      </c>
      <c r="B74" s="12" t="inlineStr">
        <is>
          <t>Release candidate và sửa lỗi phát hành</t>
        </is>
      </c>
      <c r="C74" s="12" t="inlineStr">
        <is>
          <t>CL</t>
        </is>
      </c>
      <c r="D74" s="12">
        <f>'13_WBS'!G74</f>
        <v>35</v>
      </c>
      <c r="E74" s="12">
        <f>'13_WBS'!H74</f>
        <v>36</v>
      </c>
      <c r="F74" s="22">
        <f>IF(AND(F$4&gt;=$D74,F$4&lt;=$E74),1,0)</f>
        <v>0</v>
      </c>
      <c r="G74" s="22">
        <f>IF(AND(G$4&gt;=$D74,G$4&lt;=$E74),1,0)</f>
        <v>0</v>
      </c>
      <c r="H74" s="22">
        <f>IF(AND(H$4&gt;=$D74,H$4&lt;=$E74),1,0)</f>
        <v>0</v>
      </c>
      <c r="I74" s="22">
        <f>IF(AND(I$4&gt;=$D74,I$4&lt;=$E74),1,0)</f>
        <v>0</v>
      </c>
      <c r="J74" s="22">
        <f>IF(AND(J$4&gt;=$D74,J$4&lt;=$E74),1,0)</f>
        <v>0</v>
      </c>
      <c r="K74" s="22">
        <f>IF(AND(K$4&gt;=$D74,K$4&lt;=$E74),1,0)</f>
        <v>0</v>
      </c>
      <c r="L74" s="22">
        <f>IF(AND(L$4&gt;=$D74,L$4&lt;=$E74),1,0)</f>
        <v>0</v>
      </c>
      <c r="M74" s="22">
        <f>IF(AND(M$4&gt;=$D74,M$4&lt;=$E74),1,0)</f>
        <v>0</v>
      </c>
      <c r="N74" s="22">
        <f>IF(AND(N$4&gt;=$D74,N$4&lt;=$E74),1,0)</f>
        <v>0</v>
      </c>
      <c r="O74" s="22">
        <f>IF(AND(O$4&gt;=$D74,O$4&lt;=$E74),1,0)</f>
        <v>0</v>
      </c>
      <c r="P74" s="22">
        <f>IF(AND(P$4&gt;=$D74,P$4&lt;=$E74),1,0)</f>
        <v>0</v>
      </c>
      <c r="Q74" s="22">
        <f>IF(AND(Q$4&gt;=$D74,Q$4&lt;=$E74),1,0)</f>
        <v>0</v>
      </c>
      <c r="R74" s="22">
        <f>IF(AND(R$4&gt;=$D74,R$4&lt;=$E74),1,0)</f>
        <v>0</v>
      </c>
      <c r="S74" s="22">
        <f>IF(AND(S$4&gt;=$D74,S$4&lt;=$E74),1,0)</f>
        <v>0</v>
      </c>
      <c r="T74" s="22">
        <f>IF(AND(T$4&gt;=$D74,T$4&lt;=$E74),1,0)</f>
        <v>0</v>
      </c>
      <c r="U74" s="22">
        <f>IF(AND(U$4&gt;=$D74,U$4&lt;=$E74),1,0)</f>
        <v>0</v>
      </c>
      <c r="V74" s="22">
        <f>IF(AND(V$4&gt;=$D74,V$4&lt;=$E74),1,0)</f>
        <v>0</v>
      </c>
      <c r="W74" s="22">
        <f>IF(AND(W$4&gt;=$D74,W$4&lt;=$E74),1,0)</f>
        <v>0</v>
      </c>
      <c r="X74" s="22">
        <f>IF(AND(X$4&gt;=$D74,X$4&lt;=$E74),1,0)</f>
        <v>0</v>
      </c>
      <c r="Y74" s="22">
        <f>IF(AND(Y$4&gt;=$D74,Y$4&lt;=$E74),1,0)</f>
        <v>0</v>
      </c>
      <c r="Z74" s="22">
        <f>IF(AND(Z$4&gt;=$D74,Z$4&lt;=$E74),1,0)</f>
        <v>0</v>
      </c>
      <c r="AA74" s="22">
        <f>IF(AND(AA$4&gt;=$D74,AA$4&lt;=$E74),1,0)</f>
        <v>0</v>
      </c>
      <c r="AB74" s="22">
        <f>IF(AND(AB$4&gt;=$D74,AB$4&lt;=$E74),1,0)</f>
        <v>0</v>
      </c>
      <c r="AC74" s="22">
        <f>IF(AND(AC$4&gt;=$D74,AC$4&lt;=$E74),1,0)</f>
        <v>0</v>
      </c>
      <c r="AD74" s="22">
        <f>IF(AND(AD$4&gt;=$D74,AD$4&lt;=$E74),1,0)</f>
        <v>0</v>
      </c>
      <c r="AE74" s="22">
        <f>IF(AND(AE$4&gt;=$D74,AE$4&lt;=$E74),1,0)</f>
        <v>0</v>
      </c>
      <c r="AF74" s="22">
        <f>IF(AND(AF$4&gt;=$D74,AF$4&lt;=$E74),1,0)</f>
        <v>0</v>
      </c>
      <c r="AG74" s="22">
        <f>IF(AND(AG$4&gt;=$D74,AG$4&lt;=$E74),1,0)</f>
        <v>0</v>
      </c>
      <c r="AH74" s="22">
        <f>IF(AND(AH$4&gt;=$D74,AH$4&lt;=$E74),1,0)</f>
        <v>0</v>
      </c>
      <c r="AI74" s="22">
        <f>IF(AND(AI$4&gt;=$D74,AI$4&lt;=$E74),1,0)</f>
        <v>0</v>
      </c>
      <c r="AJ74" s="22">
        <f>IF(AND(AJ$4&gt;=$D74,AJ$4&lt;=$E74),1,0)</f>
        <v>0</v>
      </c>
      <c r="AK74" s="22">
        <f>IF(AND(AK$4&gt;=$D74,AK$4&lt;=$E74),1,0)</f>
        <v>0</v>
      </c>
      <c r="AL74" s="22">
        <f>IF(AND(AL$4&gt;=$D74,AL$4&lt;=$E74),1,0)</f>
        <v>0</v>
      </c>
      <c r="AM74" s="22">
        <f>IF(AND(AM$4&gt;=$D74,AM$4&lt;=$E74),1,0)</f>
        <v>0</v>
      </c>
      <c r="AN74" s="22">
        <f>IF(AND(AN$4&gt;=$D74,AN$4&lt;=$E74),1,0)</f>
        <v>1</v>
      </c>
      <c r="AO74" s="22">
        <f>IF(AND(AO$4&gt;=$D74,AO$4&lt;=$E74),1,0)</f>
        <v>1</v>
      </c>
    </row>
    <row r="75" ht="30" customHeight="1">
      <c r="A75" s="11" t="inlineStr">
        <is>
          <t>T18-SV</t>
        </is>
      </c>
      <c r="B75" s="11" t="inlineStr">
        <is>
          <t>Restore drill, deploy và runbook</t>
        </is>
      </c>
      <c r="C75" s="11" t="inlineStr">
        <is>
          <t>SV</t>
        </is>
      </c>
      <c r="D75" s="11">
        <f>'13_WBS'!G75</f>
        <v>35</v>
      </c>
      <c r="E75" s="11">
        <f>'13_WBS'!H75</f>
        <v>36</v>
      </c>
      <c r="F75" s="21">
        <f>IF(AND(F$4&gt;=$D75,F$4&lt;=$E75),1,0)</f>
        <v>0</v>
      </c>
      <c r="G75" s="21">
        <f>IF(AND(G$4&gt;=$D75,G$4&lt;=$E75),1,0)</f>
        <v>0</v>
      </c>
      <c r="H75" s="21">
        <f>IF(AND(H$4&gt;=$D75,H$4&lt;=$E75),1,0)</f>
        <v>0</v>
      </c>
      <c r="I75" s="21">
        <f>IF(AND(I$4&gt;=$D75,I$4&lt;=$E75),1,0)</f>
        <v>0</v>
      </c>
      <c r="J75" s="21">
        <f>IF(AND(J$4&gt;=$D75,J$4&lt;=$E75),1,0)</f>
        <v>0</v>
      </c>
      <c r="K75" s="21">
        <f>IF(AND(K$4&gt;=$D75,K$4&lt;=$E75),1,0)</f>
        <v>0</v>
      </c>
      <c r="L75" s="21">
        <f>IF(AND(L$4&gt;=$D75,L$4&lt;=$E75),1,0)</f>
        <v>0</v>
      </c>
      <c r="M75" s="21">
        <f>IF(AND(M$4&gt;=$D75,M$4&lt;=$E75),1,0)</f>
        <v>0</v>
      </c>
      <c r="N75" s="21">
        <f>IF(AND(N$4&gt;=$D75,N$4&lt;=$E75),1,0)</f>
        <v>0</v>
      </c>
      <c r="O75" s="21">
        <f>IF(AND(O$4&gt;=$D75,O$4&lt;=$E75),1,0)</f>
        <v>0</v>
      </c>
      <c r="P75" s="21">
        <f>IF(AND(P$4&gt;=$D75,P$4&lt;=$E75),1,0)</f>
        <v>0</v>
      </c>
      <c r="Q75" s="21">
        <f>IF(AND(Q$4&gt;=$D75,Q$4&lt;=$E75),1,0)</f>
        <v>0</v>
      </c>
      <c r="R75" s="21">
        <f>IF(AND(R$4&gt;=$D75,R$4&lt;=$E75),1,0)</f>
        <v>0</v>
      </c>
      <c r="S75" s="21">
        <f>IF(AND(S$4&gt;=$D75,S$4&lt;=$E75),1,0)</f>
        <v>0</v>
      </c>
      <c r="T75" s="21">
        <f>IF(AND(T$4&gt;=$D75,T$4&lt;=$E75),1,0)</f>
        <v>0</v>
      </c>
      <c r="U75" s="21">
        <f>IF(AND(U$4&gt;=$D75,U$4&lt;=$E75),1,0)</f>
        <v>0</v>
      </c>
      <c r="V75" s="21">
        <f>IF(AND(V$4&gt;=$D75,V$4&lt;=$E75),1,0)</f>
        <v>0</v>
      </c>
      <c r="W75" s="21">
        <f>IF(AND(W$4&gt;=$D75,W$4&lt;=$E75),1,0)</f>
        <v>0</v>
      </c>
      <c r="X75" s="21">
        <f>IF(AND(X$4&gt;=$D75,X$4&lt;=$E75),1,0)</f>
        <v>0</v>
      </c>
      <c r="Y75" s="21">
        <f>IF(AND(Y$4&gt;=$D75,Y$4&lt;=$E75),1,0)</f>
        <v>0</v>
      </c>
      <c r="Z75" s="21">
        <f>IF(AND(Z$4&gt;=$D75,Z$4&lt;=$E75),1,0)</f>
        <v>0</v>
      </c>
      <c r="AA75" s="21">
        <f>IF(AND(AA$4&gt;=$D75,AA$4&lt;=$E75),1,0)</f>
        <v>0</v>
      </c>
      <c r="AB75" s="21">
        <f>IF(AND(AB$4&gt;=$D75,AB$4&lt;=$E75),1,0)</f>
        <v>0</v>
      </c>
      <c r="AC75" s="21">
        <f>IF(AND(AC$4&gt;=$D75,AC$4&lt;=$E75),1,0)</f>
        <v>0</v>
      </c>
      <c r="AD75" s="21">
        <f>IF(AND(AD$4&gt;=$D75,AD$4&lt;=$E75),1,0)</f>
        <v>0</v>
      </c>
      <c r="AE75" s="21">
        <f>IF(AND(AE$4&gt;=$D75,AE$4&lt;=$E75),1,0)</f>
        <v>0</v>
      </c>
      <c r="AF75" s="21">
        <f>IF(AND(AF$4&gt;=$D75,AF$4&lt;=$E75),1,0)</f>
        <v>0</v>
      </c>
      <c r="AG75" s="21">
        <f>IF(AND(AG$4&gt;=$D75,AG$4&lt;=$E75),1,0)</f>
        <v>0</v>
      </c>
      <c r="AH75" s="21">
        <f>IF(AND(AH$4&gt;=$D75,AH$4&lt;=$E75),1,0)</f>
        <v>0</v>
      </c>
      <c r="AI75" s="21">
        <f>IF(AND(AI$4&gt;=$D75,AI$4&lt;=$E75),1,0)</f>
        <v>0</v>
      </c>
      <c r="AJ75" s="21">
        <f>IF(AND(AJ$4&gt;=$D75,AJ$4&lt;=$E75),1,0)</f>
        <v>0</v>
      </c>
      <c r="AK75" s="21">
        <f>IF(AND(AK$4&gt;=$D75,AK$4&lt;=$E75),1,0)</f>
        <v>0</v>
      </c>
      <c r="AL75" s="21">
        <f>IF(AND(AL$4&gt;=$D75,AL$4&lt;=$E75),1,0)</f>
        <v>0</v>
      </c>
      <c r="AM75" s="21">
        <f>IF(AND(AM$4&gt;=$D75,AM$4&lt;=$E75),1,0)</f>
        <v>0</v>
      </c>
      <c r="AN75" s="21">
        <f>IF(AND(AN$4&gt;=$D75,AN$4&lt;=$E75),1,0)</f>
        <v>1</v>
      </c>
      <c r="AO75" s="21">
        <f>IF(AND(AO$4&gt;=$D75,AO$4&lt;=$E75),1,0)</f>
        <v>1</v>
      </c>
    </row>
    <row r="76" ht="30" customHeight="1">
      <c r="A76" s="12" t="inlineStr">
        <is>
          <t>T18-AR</t>
        </is>
      </c>
      <c r="B76" s="12" t="inlineStr">
        <is>
          <t>Hoàn tất asset và gói giới thiệu alpha</t>
        </is>
      </c>
      <c r="C76" s="12" t="inlineStr">
        <is>
          <t>AR</t>
        </is>
      </c>
      <c r="D76" s="12">
        <f>'13_WBS'!G76</f>
        <v>35</v>
      </c>
      <c r="E76" s="12">
        <f>'13_WBS'!H76</f>
        <v>36</v>
      </c>
      <c r="F76" s="22">
        <f>IF(AND(F$4&gt;=$D76,F$4&lt;=$E76),1,0)</f>
        <v>0</v>
      </c>
      <c r="G76" s="22">
        <f>IF(AND(G$4&gt;=$D76,G$4&lt;=$E76),1,0)</f>
        <v>0</v>
      </c>
      <c r="H76" s="22">
        <f>IF(AND(H$4&gt;=$D76,H$4&lt;=$E76),1,0)</f>
        <v>0</v>
      </c>
      <c r="I76" s="22">
        <f>IF(AND(I$4&gt;=$D76,I$4&lt;=$E76),1,0)</f>
        <v>0</v>
      </c>
      <c r="J76" s="22">
        <f>IF(AND(J$4&gt;=$D76,J$4&lt;=$E76),1,0)</f>
        <v>0</v>
      </c>
      <c r="K76" s="22">
        <f>IF(AND(K$4&gt;=$D76,K$4&lt;=$E76),1,0)</f>
        <v>0</v>
      </c>
      <c r="L76" s="22">
        <f>IF(AND(L$4&gt;=$D76,L$4&lt;=$E76),1,0)</f>
        <v>0</v>
      </c>
      <c r="M76" s="22">
        <f>IF(AND(M$4&gt;=$D76,M$4&lt;=$E76),1,0)</f>
        <v>0</v>
      </c>
      <c r="N76" s="22">
        <f>IF(AND(N$4&gt;=$D76,N$4&lt;=$E76),1,0)</f>
        <v>0</v>
      </c>
      <c r="O76" s="22">
        <f>IF(AND(O$4&gt;=$D76,O$4&lt;=$E76),1,0)</f>
        <v>0</v>
      </c>
      <c r="P76" s="22">
        <f>IF(AND(P$4&gt;=$D76,P$4&lt;=$E76),1,0)</f>
        <v>0</v>
      </c>
      <c r="Q76" s="22">
        <f>IF(AND(Q$4&gt;=$D76,Q$4&lt;=$E76),1,0)</f>
        <v>0</v>
      </c>
      <c r="R76" s="22">
        <f>IF(AND(R$4&gt;=$D76,R$4&lt;=$E76),1,0)</f>
        <v>0</v>
      </c>
      <c r="S76" s="22">
        <f>IF(AND(S$4&gt;=$D76,S$4&lt;=$E76),1,0)</f>
        <v>0</v>
      </c>
      <c r="T76" s="22">
        <f>IF(AND(T$4&gt;=$D76,T$4&lt;=$E76),1,0)</f>
        <v>0</v>
      </c>
      <c r="U76" s="22">
        <f>IF(AND(U$4&gt;=$D76,U$4&lt;=$E76),1,0)</f>
        <v>0</v>
      </c>
      <c r="V76" s="22">
        <f>IF(AND(V$4&gt;=$D76,V$4&lt;=$E76),1,0)</f>
        <v>0</v>
      </c>
      <c r="W76" s="22">
        <f>IF(AND(W$4&gt;=$D76,W$4&lt;=$E76),1,0)</f>
        <v>0</v>
      </c>
      <c r="X76" s="22">
        <f>IF(AND(X$4&gt;=$D76,X$4&lt;=$E76),1,0)</f>
        <v>0</v>
      </c>
      <c r="Y76" s="22">
        <f>IF(AND(Y$4&gt;=$D76,Y$4&lt;=$E76),1,0)</f>
        <v>0</v>
      </c>
      <c r="Z76" s="22">
        <f>IF(AND(Z$4&gt;=$D76,Z$4&lt;=$E76),1,0)</f>
        <v>0</v>
      </c>
      <c r="AA76" s="22">
        <f>IF(AND(AA$4&gt;=$D76,AA$4&lt;=$E76),1,0)</f>
        <v>0</v>
      </c>
      <c r="AB76" s="22">
        <f>IF(AND(AB$4&gt;=$D76,AB$4&lt;=$E76),1,0)</f>
        <v>0</v>
      </c>
      <c r="AC76" s="22">
        <f>IF(AND(AC$4&gt;=$D76,AC$4&lt;=$E76),1,0)</f>
        <v>0</v>
      </c>
      <c r="AD76" s="22">
        <f>IF(AND(AD$4&gt;=$D76,AD$4&lt;=$E76),1,0)</f>
        <v>0</v>
      </c>
      <c r="AE76" s="22">
        <f>IF(AND(AE$4&gt;=$D76,AE$4&lt;=$E76),1,0)</f>
        <v>0</v>
      </c>
      <c r="AF76" s="22">
        <f>IF(AND(AF$4&gt;=$D76,AF$4&lt;=$E76),1,0)</f>
        <v>0</v>
      </c>
      <c r="AG76" s="22">
        <f>IF(AND(AG$4&gt;=$D76,AG$4&lt;=$E76),1,0)</f>
        <v>0</v>
      </c>
      <c r="AH76" s="22">
        <f>IF(AND(AH$4&gt;=$D76,AH$4&lt;=$E76),1,0)</f>
        <v>0</v>
      </c>
      <c r="AI76" s="22">
        <f>IF(AND(AI$4&gt;=$D76,AI$4&lt;=$E76),1,0)</f>
        <v>0</v>
      </c>
      <c r="AJ76" s="22">
        <f>IF(AND(AJ$4&gt;=$D76,AJ$4&lt;=$E76),1,0)</f>
        <v>0</v>
      </c>
      <c r="AK76" s="22">
        <f>IF(AND(AK$4&gt;=$D76,AK$4&lt;=$E76),1,0)</f>
        <v>0</v>
      </c>
      <c r="AL76" s="22">
        <f>IF(AND(AL$4&gt;=$D76,AL$4&lt;=$E76),1,0)</f>
        <v>0</v>
      </c>
      <c r="AM76" s="22">
        <f>IF(AND(AM$4&gt;=$D76,AM$4&lt;=$E76),1,0)</f>
        <v>0</v>
      </c>
      <c r="AN76" s="22">
        <f>IF(AND(AN$4&gt;=$D76,AN$4&lt;=$E76),1,0)</f>
        <v>1</v>
      </c>
      <c r="AO76" s="22">
        <f>IF(AND(AO$4&gt;=$D76,AO$4&lt;=$E76),1,0)</f>
        <v>1</v>
      </c>
    </row>
  </sheetData>
  <autoFilter ref="A4:AO76"/>
  <mergeCells count="2">
    <mergeCell ref="A2:AO2"/>
    <mergeCell ref="A1:AO1"/>
  </mergeCells>
  <conditionalFormatting sqref="F5:AO76">
    <cfRule type="cellIs" priority="1" operator="equal" dxfId="0">
      <formula>1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0"/>
    <pageSetUpPr fitToPage="1"/>
  </sheetPr>
  <dimension ref="A1:I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9" customWidth="1" min="4" max="4"/>
    <col width="105" customWidth="1" min="5" max="5"/>
    <col width="30" customWidth="1" min="6" max="6"/>
    <col width="95" customWidth="1" min="7" max="7"/>
    <col width="22" customWidth="1" min="8" max="8"/>
    <col width="60" customWidth="1" min="9" max="9"/>
  </cols>
  <sheetData>
    <row r="1" ht="34" customHeight="1">
      <c r="A1" s="1" t="inlineStr">
        <is>
          <t>15 / Milestones &amp; Exit Criteria</t>
        </is>
      </c>
    </row>
    <row r="2" ht="31" customHeight="1">
      <c r="A2" s="2" t="inlineStr">
        <is>
          <t>Gate chỉ pass khi có evidence; thất bại→sử dụng dự phòng/cắt phạm vi/rebaseline. Mốc kết thúc minh họa được dịch từ 00_START!B7.</t>
        </is>
      </c>
    </row>
    <row r="4" ht="31" customHeight="1">
      <c r="A4" s="3" t="inlineStr">
        <is>
          <t>Gate</t>
        </is>
      </c>
      <c r="B4" s="3" t="inlineStr">
        <is>
          <t>End sprint</t>
        </is>
      </c>
      <c r="C4" s="3" t="inlineStr">
        <is>
          <t>Mốc</t>
        </is>
      </c>
      <c r="D4" s="3" t="inlineStr">
        <is>
          <t>Ngày minh họa</t>
        </is>
      </c>
      <c r="E4" s="3" t="inlineStr">
        <is>
          <t>Exit criteria</t>
        </is>
      </c>
      <c r="F4" s="3" t="inlineStr">
        <is>
          <t>Sign-off owner</t>
        </is>
      </c>
      <c r="G4" s="3" t="inlineStr">
        <is>
          <t>Nếu chưa đạt</t>
        </is>
      </c>
      <c r="H4" s="3" t="inlineStr">
        <is>
          <t>Status</t>
        </is>
      </c>
      <c r="I4" s="3" t="inlineStr">
        <is>
          <t>Evidence / Notes</t>
        </is>
      </c>
    </row>
    <row r="5" ht="31" customHeight="1">
      <c r="A5" s="11" t="inlineStr">
        <is>
          <t>G0</t>
        </is>
      </c>
      <c r="B5" s="11" t="n">
        <v>2</v>
      </c>
      <c r="C5" s="11" t="inlineStr">
        <is>
          <t>Tuần 4 — Baseline khả thi</t>
        </is>
      </c>
      <c r="D5" s="15">
        <f>WORKDAY('00_START'!$B$7-1,B5*10)</f>
        <v>46332.0</v>
      </c>
      <c r="E5" s="11" t="inlineStr">
        <is>
          <t>FSD/WBS/luật/availability/art nguồn rõ; stack spike 2 client; chốt hoặc giảm scope</t>
        </is>
      </c>
      <c r="F5" s="11" t="inlineStr">
        <is>
          <t>GD+CL+SV+AR</t>
        </is>
      </c>
      <c r="G5" s="11" t="inlineStr">
        <is>
          <t>Không khả thi giờ/stack→cắt content/đổi nền trước G1</t>
        </is>
      </c>
      <c r="H5" s="11" t="inlineStr">
        <is>
          <t>Chưa đánh giá</t>
        </is>
      </c>
      <c r="I5" s="11" t="inlineStr"/>
    </row>
    <row r="6" ht="31" customHeight="1">
      <c r="A6" s="12" t="inlineStr">
        <is>
          <t>G1</t>
        </is>
      </c>
      <c r="B6" s="12" t="n">
        <v>4</v>
      </c>
      <c r="C6" s="12" t="inlineStr">
        <is>
          <t>Tuần 8 — Multiplayer nền</t>
        </is>
      </c>
      <c r="D6" s="19">
        <f>WORKDAY('00_START'!$B$7-1,B6*10)</f>
        <v>46360.0</v>
      </c>
      <c r="E6" s="12" t="inlineStr">
        <is>
          <t>Click/movement/auth/room/AOI;2 client; reject warp; handoff happy path</t>
        </is>
      </c>
      <c r="F6" s="12" t="inlineStr">
        <is>
          <t>CL+SV; GD kiểm tra</t>
        </is>
      </c>
      <c r="G6" s="12" t="inlineStr">
        <is>
          <t>Chưa cóauthoritative movement→không xây content thêm</t>
        </is>
      </c>
      <c r="H6" s="12" t="inlineStr">
        <is>
          <t>Chưa đánh giá</t>
        </is>
      </c>
      <c r="I6" s="12" t="inlineStr"/>
    </row>
    <row r="7" ht="31" customHeight="1">
      <c r="A7" s="11" t="inlineStr">
        <is>
          <t>G2</t>
        </is>
      </c>
      <c r="B7" s="11" t="n">
        <v>6</v>
      </c>
      <c r="C7" s="11" t="inlineStr">
        <is>
          <t>Tuần 12 — First playable</t>
        </is>
      </c>
      <c r="D7" s="15">
        <f>WORKDAY('00_START'!$B$7-1,B7*10)</f>
        <v>46388.0</v>
      </c>
      <c r="E7" s="11" t="inlineStr">
        <is>
          <t>Town/farm,5 Cổ, combat, mob, loot, death;10 phiên 15 phút; lỗi blocker 0</t>
        </is>
      </c>
      <c r="F7" s="11" t="inlineStr">
        <is>
          <t>GD; CL+SV sửa</t>
        </is>
      </c>
      <c r="G7" s="11" t="inlineStr">
        <is>
          <t>TTK/điều khiển không ổn→dùng dự phòng; giảm VFX</t>
        </is>
      </c>
      <c r="H7" s="11" t="inlineStr">
        <is>
          <t>Chưa đánh giá</t>
        </is>
      </c>
      <c r="I7" s="11" t="inlineStr"/>
    </row>
    <row r="8" ht="31" customHeight="1">
      <c r="A8" s="12" t="inlineStr">
        <is>
          <t>G3</t>
        </is>
      </c>
      <c r="B8" s="12" t="n">
        <v>12</v>
      </c>
      <c r="C8" s="12" t="inlineStr">
        <is>
          <t>Tuần 24 — Core loop alpha</t>
        </is>
      </c>
      <c r="D8" s="19">
        <f>WORKDAY('00_START'!$B$7-1,B8*10)</f>
        <v>46472.0</v>
      </c>
      <c r="E8" s="12" t="inlineStr">
        <is>
          <t>20 Cổ; capture/feed/refine/equip/quest/rank; reconnect; atomic/dupetests pass</t>
        </is>
      </c>
      <c r="F8" s="12" t="inlineStr">
        <is>
          <t>Cả đội</t>
        </is>
      </c>
      <c r="G8" s="12" t="inlineStr">
        <is>
          <t>Ledger/dupefail→dừng social, fix dữ liệu trước</t>
        </is>
      </c>
      <c r="H8" s="12" t="inlineStr">
        <is>
          <t>Chưa đánh giá</t>
        </is>
      </c>
      <c r="I8" s="12" t="inlineStr"/>
    </row>
    <row r="9" ht="31" customHeight="1">
      <c r="A9" s="11" t="inlineStr">
        <is>
          <t>G4</t>
        </is>
      </c>
      <c r="B9" s="11" t="n">
        <v>15</v>
      </c>
      <c r="C9" s="11" t="inlineStr">
        <is>
          <t>Tuần 30 — Content/social đủ</t>
        </is>
      </c>
      <c r="D9" s="15">
        <f>WORKDAY('00_START'!$B$7-1,B9*10)</f>
        <v>46514.0</v>
      </c>
      <c r="E9" s="11" t="inlineStr">
        <is>
          <t>Party 3, chat, dungeon 1 boss, duel1v1; noopenworlddamage</t>
        </is>
      </c>
      <c r="F9" s="11" t="inlineStr">
        <is>
          <t>Cả đội</t>
        </is>
      </c>
      <c r="G9" s="11" t="inlineStr">
        <is>
          <t>Trễ&gt;1 sprint→cắt party/dungeon/duel theo cutline</t>
        </is>
      </c>
      <c r="H9" s="11" t="inlineStr">
        <is>
          <t>Chưa đánh giá</t>
        </is>
      </c>
      <c r="I9" s="11" t="inlineStr"/>
    </row>
    <row r="10" ht="31" customHeight="1">
      <c r="A10" s="12" t="inlineStr">
        <is>
          <t>G5</t>
        </is>
      </c>
      <c r="B10" s="12" t="n">
        <v>18</v>
      </c>
      <c r="C10" s="12" t="inlineStr">
        <is>
          <t>Tuần 36 — Closed alpha</t>
        </is>
      </c>
      <c r="D10" s="19">
        <f>WORKDAY('00_START'!$B$7-1,B10*10)</f>
        <v>46556.0</v>
      </c>
      <c r="E10" s="12" t="inlineStr">
        <is>
          <t>Must trace passed;0P0/P1; NFRload/restore/security;20 tester mời; report 7 ngày</t>
        </is>
      </c>
      <c r="F10" s="12" t="inlineStr">
        <is>
          <t>Owner+GD+SV</t>
        </is>
      </c>
      <c r="G10" s="12" t="inlineStr">
        <is>
          <t>Không máy host/quá load→chỉ local/LANalpha và ghi giới hạn</t>
        </is>
      </c>
      <c r="H10" s="12" t="inlineStr">
        <is>
          <t>Chưa đánh giá</t>
        </is>
      </c>
      <c r="I10" s="12" t="inlineStr"/>
    </row>
  </sheetData>
  <autoFilter ref="A4:I10"/>
  <mergeCells count="2">
    <mergeCell ref="A1:I1"/>
    <mergeCell ref="A2:I2"/>
  </mergeCells>
  <dataValidations count="1">
    <dataValidation sqref="H5:H10" showDropDown="0" showInputMessage="0" showErrorMessage="1" allowBlank="0" errorTitle="Giá trị chưa hợp lệ" error="Chọn một giá trị trong danh sách." type="list">
      <formula1>"Chưa đánh giá,Đạt,Không đạt,Đạt có điều kiện"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0"/>
    <pageSetUpPr fitToPage="1"/>
  </sheetPr>
  <dimension ref="A1:L8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8" customWidth="1" min="2" max="2"/>
    <col width="52" customWidth="1" min="3" max="3"/>
    <col width="70" customWidth="1" min="4" max="4"/>
    <col width="110" customWidth="1" min="5" max="5"/>
    <col width="100" customWidth="1" min="6" max="6"/>
    <col width="12" customWidth="1" min="7" max="7"/>
    <col width="12" customWidth="1" min="8" max="8"/>
    <col width="24" customWidth="1" min="9" max="9"/>
    <col width="20" customWidth="1" min="10" max="10"/>
    <col width="60" customWidth="1" min="11" max="11"/>
    <col width="80" customWidth="1" min="12" max="12"/>
  </cols>
  <sheetData>
    <row r="1" ht="34" customHeight="1">
      <c r="A1" s="1" t="inlineStr">
        <is>
          <t>16 / Test Plan &amp; Requirement Trace</t>
        </is>
      </c>
    </row>
    <row r="2" ht="31" customHeight="1">
      <c r="A2" s="2" t="inlineStr">
        <is>
          <t>79plannedtestrows; không tự đánh dấu Passed. Evidence phải có build/config/browser/hardware khi áp dụng; dùng QA_REQUESTS để ghi issues.</t>
        </is>
      </c>
    </row>
    <row r="4" ht="31" customHeight="1">
      <c r="A4" s="3" t="inlineStr">
        <is>
          <t>Test ID</t>
        </is>
      </c>
      <c r="B4" s="3" t="inlineStr">
        <is>
          <t>Requirement IDs</t>
        </is>
      </c>
      <c r="C4" s="3" t="inlineStr">
        <is>
          <t>Scenario</t>
        </is>
      </c>
      <c r="D4" s="3" t="inlineStr">
        <is>
          <t>Preconditions / Input</t>
        </is>
      </c>
      <c r="E4" s="3" t="inlineStr">
        <is>
          <t>Steps / Negative cases</t>
        </is>
      </c>
      <c r="F4" s="3" t="inlineStr">
        <is>
          <t>Expected / Acceptance</t>
        </is>
      </c>
      <c r="G4" s="3" t="inlineStr">
        <is>
          <t>Priority</t>
        </is>
      </c>
      <c r="H4" s="3" t="inlineStr">
        <is>
          <t>Gate</t>
        </is>
      </c>
      <c r="I4" s="3" t="inlineStr">
        <is>
          <t>Owner</t>
        </is>
      </c>
      <c r="J4" s="3" t="inlineStr">
        <is>
          <t>Status</t>
        </is>
      </c>
      <c r="K4" s="3" t="inlineStr">
        <is>
          <t>Evidence path</t>
        </is>
      </c>
      <c r="L4" s="3" t="inlineStr">
        <is>
          <t>Actual result</t>
        </is>
      </c>
    </row>
    <row r="5" ht="39" customHeight="1">
      <c r="A5" s="11" t="inlineStr">
        <is>
          <t>TC-CL-001</t>
        </is>
      </c>
      <c r="B5" s="11" t="inlineStr">
        <is>
          <t>CL-001</t>
        </is>
      </c>
      <c r="C5" s="11" t="inlineStr">
        <is>
          <t>Đăng nhập bằng tài khoản mời</t>
        </is>
      </c>
      <c r="D5" s="11" t="inlineStr">
        <is>
          <t>Username, password</t>
        </is>
      </c>
      <c r="E5" s="11" t="inlineStr">
        <is>
          <t>Nhập username/password; xác thực server; chuyển chọn nhân vật. Không mở đăng ký công khai trong alpha. | Thử negative case: Sai thông tin hiển thị chung; khóa tạm sau nhiều lần sai</t>
        </is>
      </c>
      <c r="F5" s="11" t="inlineStr">
        <is>
          <t>Tài khoản hợp lệ vào được; sai/expired không vào room.</t>
        </is>
      </c>
      <c r="G5" s="11" t="inlineStr">
        <is>
          <t>P1</t>
        </is>
      </c>
      <c r="H5" s="11" t="inlineStr">
        <is>
          <t>G1</t>
        </is>
      </c>
      <c r="I5" s="11" t="inlineStr">
        <is>
          <t>GD + owner kỹ thuật</t>
        </is>
      </c>
      <c r="J5" s="11" t="inlineStr">
        <is>
          <t>Chưa chạy</t>
        </is>
      </c>
      <c r="K5" s="11" t="inlineStr"/>
      <c r="L5" s="11" t="inlineStr"/>
    </row>
    <row r="6" ht="39" customHeight="1">
      <c r="A6" s="12" t="inlineStr">
        <is>
          <t>TC-CL-002</t>
        </is>
      </c>
      <c r="B6" s="12" t="inlineStr">
        <is>
          <t>CL-002</t>
        </is>
      </c>
      <c r="C6" s="12" t="inlineStr">
        <is>
          <t>Tạo và chọn nhân vật</t>
        </is>
      </c>
      <c r="D6" s="12" t="inlineStr">
        <is>
          <t>Tên, avatar cơ sở</t>
        </is>
      </c>
      <c r="E6" s="12" t="inlineStr">
        <is>
          <t>Mỗi account 1 nhân vật; đặt tên 3–16 ký tự Unicode chữ/số/khoảng trắng; trim; kiểm tra tên trùng và danh sách cấm. | Thử negative case: Tên lỗi/trùng; gửi lặp không tạo thêm</t>
        </is>
      </c>
      <c r="F6" s="12" t="inlineStr">
        <is>
          <t>Hai request đồng thời chỉ tạo 1 nhân vật và 1 starter kit.</t>
        </is>
      </c>
      <c r="G6" s="12" t="inlineStr">
        <is>
          <t>P1</t>
        </is>
      </c>
      <c r="H6" s="12" t="inlineStr">
        <is>
          <t>G1</t>
        </is>
      </c>
      <c r="I6" s="12" t="inlineStr">
        <is>
          <t>GD + owner kỹ thuật</t>
        </is>
      </c>
      <c r="J6" s="12" t="inlineStr">
        <is>
          <t>Chưa chạy</t>
        </is>
      </c>
      <c r="K6" s="12" t="inlineStr"/>
      <c r="L6" s="12" t="inlineStr"/>
    </row>
    <row r="7" ht="39" customHeight="1">
      <c r="A7" s="11" t="inlineStr">
        <is>
          <t>TC-CL-003</t>
        </is>
      </c>
      <c r="B7" s="11" t="inlineStr">
        <is>
          <t>CL-003</t>
        </is>
      </c>
      <c r="C7" s="11" t="inlineStr">
        <is>
          <t>Click-to-move isometric</t>
        </is>
      </c>
      <c r="D7" s="11" t="inlineStr">
        <is>
          <t>Tọa độ world, sequence</t>
        </is>
      </c>
      <c r="E7" s="11" t="inlineStr">
        <is>
          <t>Click trái nền gửi đích; client tìm đường A* trên nav grid; server xác nhận đường/tốc độ; hỗ trợ hủy bằng click mới. | Thử negative case: Đích ngoài map/tường: hiện marker không đi được</t>
        </is>
      </c>
      <c r="F7" s="11" t="inlineStr">
        <is>
          <t>Đi quanh vật cản; click liên tục không xuyên tường; UI click không di chuyển.</t>
        </is>
      </c>
      <c r="G7" s="11" t="inlineStr">
        <is>
          <t>P1</t>
        </is>
      </c>
      <c r="H7" s="11" t="inlineStr">
        <is>
          <t>G1</t>
        </is>
      </c>
      <c r="I7" s="11" t="inlineStr">
        <is>
          <t>GD + owner kỹ thuật</t>
        </is>
      </c>
      <c r="J7" s="11" t="inlineStr">
        <is>
          <t>Chưa chạy</t>
        </is>
      </c>
      <c r="K7" s="11" t="inlineStr"/>
      <c r="L7" s="11" t="inlineStr"/>
    </row>
    <row r="8" ht="39" customHeight="1">
      <c r="A8" s="12" t="inlineStr">
        <is>
          <t>TC-CL-004</t>
        </is>
      </c>
      <c r="B8" s="12" t="inlineStr">
        <is>
          <t>CL-004</t>
        </is>
      </c>
      <c r="C8" s="12" t="inlineStr">
        <is>
          <t>Camera và depth sorting</t>
        </is>
      </c>
      <c r="D8" s="12" t="inlineStr">
        <is>
          <t>Player/world position</t>
        </is>
      </c>
      <c r="E8" s="12" t="inlineStr">
        <is>
          <t>Camera bám nhân vật trong biên map; render theo ground Y + layer; props cao che đúng; không xoay camera. | Thử negative case: Resize vẫn giữ nhân vật trong khung</t>
        </is>
      </c>
      <c r="F8" s="12" t="inlineStr">
        <is>
          <t>Đi sau/trước 10 props không đảo layer; 1366×768 và 1920×1080 dùng được.</t>
        </is>
      </c>
      <c r="G8" s="12" t="inlineStr">
        <is>
          <t>P1</t>
        </is>
      </c>
      <c r="H8" s="12" t="inlineStr">
        <is>
          <t>G1</t>
        </is>
      </c>
      <c r="I8" s="12" t="inlineStr">
        <is>
          <t>GD + owner kỹ thuật</t>
        </is>
      </c>
      <c r="J8" s="12" t="inlineStr">
        <is>
          <t>Chưa chạy</t>
        </is>
      </c>
      <c r="K8" s="12" t="inlineStr"/>
      <c r="L8" s="12" t="inlineStr"/>
    </row>
    <row r="9" ht="39" customHeight="1">
      <c r="A9" s="11" t="inlineStr">
        <is>
          <t>TC-CL-005</t>
        </is>
      </c>
      <c r="B9" s="11" t="inlineStr">
        <is>
          <t>CL-005</t>
        </is>
      </c>
      <c r="C9" s="11" t="inlineStr">
        <is>
          <t>Chọn và tương tác mục tiêu</t>
        </is>
      </c>
      <c r="D9" s="11" t="inlineStr">
        <is>
          <t>Entity ID</t>
        </is>
      </c>
      <c r="E9" s="11" t="inlineStr">
        <is>
          <t>Click quái chọn; click NPC trong 2 tile mở tương tác; click xa tự đi đến; vòng chọn và HP mục tiêu. | Thử negative case: Target mất AOI/chết: bỏ chọn</t>
        </is>
      </c>
      <c r="F9" s="11" t="inlineStr">
        <is>
          <t>Không mở NPC ở xa; mục tiêu biến mất không gây lỗi UI.</t>
        </is>
      </c>
      <c r="G9" s="11" t="inlineStr">
        <is>
          <t>P1</t>
        </is>
      </c>
      <c r="H9" s="11" t="inlineStr">
        <is>
          <t>G2</t>
        </is>
      </c>
      <c r="I9" s="11" t="inlineStr">
        <is>
          <t>GD + owner kỹ thuật</t>
        </is>
      </c>
      <c r="J9" s="11" t="inlineStr">
        <is>
          <t>Chưa chạy</t>
        </is>
      </c>
      <c r="K9" s="11" t="inlineStr"/>
      <c r="L9" s="11" t="inlineStr"/>
    </row>
    <row r="10" ht="39" customHeight="1">
      <c r="A10" s="12" t="inlineStr">
        <is>
          <t>TC-CL-006</t>
        </is>
      </c>
      <c r="B10" s="12" t="inlineStr">
        <is>
          <t>CL-006</t>
        </is>
      </c>
      <c r="C10" s="12" t="inlineStr">
        <is>
          <t>Minimap và cổng map</t>
        </is>
      </c>
      <c r="D10" s="12" t="inlineStr">
        <is>
          <t>Map ID, portal ID</t>
        </is>
      </c>
      <c r="E10" s="12" t="inlineStr">
        <is>
          <t>Hiện vị trí bản thân, party, NPC, cổng; dùng portal tương tác để chuyển map; không lộ entity ngoài quyền xem. | Thử negative case: Map đầy hoặc server lỗi: ở map cũ, báo lý do</t>
        </is>
      </c>
      <c r="F10" s="12" t="inlineStr">
        <is>
          <t>Chuyển map không xuất hiện hai bản nhân vật; minimap đúng collision/portal.</t>
        </is>
      </c>
      <c r="G10" s="12" t="inlineStr">
        <is>
          <t>P1</t>
        </is>
      </c>
      <c r="H10" s="12" t="inlineStr">
        <is>
          <t>G3</t>
        </is>
      </c>
      <c r="I10" s="12" t="inlineStr">
        <is>
          <t>GD + owner kỹ thuật</t>
        </is>
      </c>
      <c r="J10" s="12" t="inlineStr">
        <is>
          <t>Chưa chạy</t>
        </is>
      </c>
      <c r="K10" s="12" t="inlineStr"/>
      <c r="L10" s="12" t="inlineStr"/>
    </row>
    <row r="11" ht="39" customHeight="1">
      <c r="A11" s="11" t="inlineStr">
        <is>
          <t>TC-CL-007</t>
        </is>
      </c>
      <c r="B11" s="11" t="inlineStr">
        <is>
          <t>CL-007</t>
        </is>
      </c>
      <c r="C11" s="11" t="inlineStr">
        <is>
          <t>Thanh Cổ Q/W/E/R</t>
        </is>
      </c>
      <c r="D11" s="11" t="inlineStr">
        <is>
          <t>Gu instance, hotkey, target</t>
        </is>
      </c>
      <c r="E11" s="11" t="inlineStr">
        <is>
          <t>4 ô active; 2 ô passive mở rank II; QWER kích hoạt; số 1 dùng vật phẩm hồi phục; remap ở settings. | Thử negative case: Chat/input đang focus không phát skill</t>
        </is>
      </c>
      <c r="F11" s="11" t="inlineStr">
        <is>
          <t>Bốn hotkey và click đều hoạt động; skill chưa đủ điều kiện báo cùng mã lỗi.</t>
        </is>
      </c>
      <c r="G11" s="11" t="inlineStr">
        <is>
          <t>P1</t>
        </is>
      </c>
      <c r="H11" s="11" t="inlineStr">
        <is>
          <t>G3</t>
        </is>
      </c>
      <c r="I11" s="11" t="inlineStr">
        <is>
          <t>GD + owner kỹ thuật</t>
        </is>
      </c>
      <c r="J11" s="11" t="inlineStr">
        <is>
          <t>Chưa chạy</t>
        </is>
      </c>
      <c r="K11" s="11" t="inlineStr"/>
      <c r="L11" s="11" t="inlineStr"/>
    </row>
    <row r="12" ht="39" customHeight="1">
      <c r="A12" s="12" t="inlineStr">
        <is>
          <t>TC-CL-008</t>
        </is>
      </c>
      <c r="B12" s="12" t="inlineStr">
        <is>
          <t>CL-008</t>
        </is>
      </c>
      <c r="C12" s="12" t="inlineStr">
        <is>
          <t>Thi triển chỉ mục tiêu/điểm đất/tự thân</t>
        </is>
      </c>
      <c r="D12" s="12" t="inlineStr">
        <is>
          <t>Gu ID, target ID hoặc world point</t>
        </is>
      </c>
      <c r="E12" s="12" t="inlineStr">
        <is>
          <t>Cổ định nghĩa targetMode; điểm đất preview vòng AoE; Esc/hủy click; cast bar khi có castTime; server quyết định hit. | Thử negative case: Target chết/ngoài tầm/không LOS: không trừ mana</t>
        </is>
      </c>
      <c r="F12" s="12" t="inlineStr">
        <is>
          <t>Mỗi mode ít nhất 1 skill kiểm thử; không đánh xuyên vật cản LOS.</t>
        </is>
      </c>
      <c r="G12" s="12" t="inlineStr">
        <is>
          <t>P1</t>
        </is>
      </c>
      <c r="H12" s="12" t="inlineStr">
        <is>
          <t>G3</t>
        </is>
      </c>
      <c r="I12" s="12" t="inlineStr">
        <is>
          <t>GD + owner kỹ thuật</t>
        </is>
      </c>
      <c r="J12" s="12" t="inlineStr">
        <is>
          <t>Chưa chạy</t>
        </is>
      </c>
      <c r="K12" s="12" t="inlineStr"/>
      <c r="L12" s="12" t="inlineStr"/>
    </row>
    <row r="13" ht="39" customHeight="1">
      <c r="A13" s="11" t="inlineStr">
        <is>
          <t>TC-CL-009</t>
        </is>
      </c>
      <c r="B13" s="11" t="inlineStr">
        <is>
          <t>CL-009</t>
        </is>
      </c>
      <c r="C13" s="11" t="inlineStr">
        <is>
          <t>HP và Chân Nguyên</t>
        </is>
      </c>
      <c r="D13" s="11" t="inlineStr">
        <is>
          <t>HP/mana/cost server</t>
        </is>
      </c>
      <c r="E13" s="11" t="inlineStr">
        <is>
          <t>Hiện HP/mana số và thanh; mana cost lấy từ maxMana × cost%; server snapshot là nguồn số thật. | Thử negative case: Mana thiếu: từ chối cast, không reset cooldown</t>
        </is>
      </c>
      <c r="F13" s="11" t="inlineStr">
        <is>
          <t>UI đúng số server sau cast, hồi phục và reconnect.</t>
        </is>
      </c>
      <c r="G13" s="11" t="inlineStr">
        <is>
          <t>P1</t>
        </is>
      </c>
      <c r="H13" s="11" t="inlineStr">
        <is>
          <t>G2</t>
        </is>
      </c>
      <c r="I13" s="11" t="inlineStr">
        <is>
          <t>GD + owner kỹ thuật</t>
        </is>
      </c>
      <c r="J13" s="11" t="inlineStr">
        <is>
          <t>Chưa chạy</t>
        </is>
      </c>
      <c r="K13" s="11" t="inlineStr"/>
      <c r="L13" s="11" t="inlineStr"/>
    </row>
    <row r="14" ht="39" customHeight="1">
      <c r="A14" s="12" t="inlineStr">
        <is>
          <t>TC-CL-010</t>
        </is>
      </c>
      <c r="B14" s="12" t="inlineStr">
        <is>
          <t>CL-010</t>
        </is>
      </c>
      <c r="C14" s="12" t="inlineStr">
        <is>
          <t>Buff, debuff và combat feed back</t>
        </is>
      </c>
      <c r="D14" s="12" t="inlineStr">
        <is>
          <t>Combat events/status endTime</t>
        </is>
      </c>
      <c r="E14" s="12" t="inlineStr">
        <is>
          <t>Icon có thời gian; shield/slow/stun/heal rõ; damage number có giới hạn; telegraph không chỉ dựa màu. | Thử negative case: Event trùng bỏ qua bằng eventId</t>
        </is>
      </c>
      <c r="F14" s="12" t="inlineStr">
        <is>
          <t>Stun/slow đúng duration; mute tắt được audio; denied khác hit.</t>
        </is>
      </c>
      <c r="G14" s="12" t="inlineStr">
        <is>
          <t>P1</t>
        </is>
      </c>
      <c r="H14" s="12" t="inlineStr">
        <is>
          <t>G3</t>
        </is>
      </c>
      <c r="I14" s="12" t="inlineStr">
        <is>
          <t>GD + owner kỹ thuật</t>
        </is>
      </c>
      <c r="J14" s="12" t="inlineStr">
        <is>
          <t>Chưa chạy</t>
        </is>
      </c>
      <c r="K14" s="12" t="inlineStr"/>
      <c r="L14" s="12" t="inlineStr"/>
    </row>
    <row r="15" ht="39" customHeight="1">
      <c r="A15" s="11" t="inlineStr">
        <is>
          <t>TC-CL-011</t>
        </is>
      </c>
      <c r="B15" s="11" t="inlineStr">
        <is>
          <t>CL-011</t>
        </is>
      </c>
      <c r="C15" s="11" t="inlineStr">
        <is>
          <t>Chết và hồi sinh</t>
        </is>
      </c>
      <c r="D15" s="11" t="inlineStr">
        <is>
          <t>Death event; respawn intent</t>
        </is>
      </c>
      <c r="E15" s="11" t="inlineStr">
        <is>
          <t>0 HP khóa input combat; 5 giây rồi hồi tại safe spawn; không mất Cổ trong MVP; mất 5% tiền mềm, cap 50. | Thử negative case: Nhấn lặp không trừ nhiều lần; đang mất mạng chờ resync</t>
        </is>
      </c>
      <c r="F15" s="11" t="inlineStr">
        <is>
          <t>Một death chỉ một penalty; quest/Gu vẫn còn sau hồi sinh.</t>
        </is>
      </c>
      <c r="G15" s="11" t="inlineStr">
        <is>
          <t>P1</t>
        </is>
      </c>
      <c r="H15" s="11" t="inlineStr">
        <is>
          <t>G2</t>
        </is>
      </c>
      <c r="I15" s="11" t="inlineStr">
        <is>
          <t>GD + owner kỹ thuật</t>
        </is>
      </c>
      <c r="J15" s="11" t="inlineStr">
        <is>
          <t>Chưa chạy</t>
        </is>
      </c>
      <c r="K15" s="11" t="inlineStr"/>
      <c r="L15" s="11" t="inlineStr"/>
    </row>
    <row r="16" ht="39" customHeight="1">
      <c r="A16" s="12" t="inlineStr">
        <is>
          <t>TC-CL-012</t>
        </is>
      </c>
      <c r="B16" s="12" t="inlineStr">
        <is>
          <t>CL-012</t>
        </is>
      </c>
      <c r="C16" s="12" t="inlineStr">
        <is>
          <t>Đánh quái và nhận loot</t>
        </is>
      </c>
      <c r="D16" s="12" t="inlineStr">
        <is>
          <t>Mob ID, combat intent</t>
        </is>
      </c>
      <c r="E16" s="12" t="inlineStr">
        <is>
          <t>Quái có cấp, HP, aggro, leash; loot cá nhân vào túi sau server commit; popup theo receipt. | Thử negative case: Túi đầy không mất reward: vào reward inbox</t>
        </is>
      </c>
      <c r="F16" s="12" t="inlineStr">
        <is>
          <t>Hai client đánh cùng quái chỉ một owner nhận reward; retry không nhân đôi.</t>
        </is>
      </c>
      <c r="G16" s="12" t="inlineStr">
        <is>
          <t>P1</t>
        </is>
      </c>
      <c r="H16" s="12" t="inlineStr">
        <is>
          <t>G3</t>
        </is>
      </c>
      <c r="I16" s="12" t="inlineStr">
        <is>
          <t>GD + owner kỹ thuật</t>
        </is>
      </c>
      <c r="J16" s="12" t="inlineStr">
        <is>
          <t>Chưa chạy</t>
        </is>
      </c>
      <c r="K16" s="12" t="inlineStr"/>
      <c r="L16" s="12" t="inlineStr"/>
    </row>
    <row r="17" ht="39" customHeight="1">
      <c r="A17" s="11" t="inlineStr">
        <is>
          <t>TC-CL-013</t>
        </is>
      </c>
      <c r="B17" s="11" t="inlineStr">
        <is>
          <t>CL-013</t>
        </is>
      </c>
      <c r="C17" s="11" t="inlineStr">
        <is>
          <t>Túi 30 ô và stack</t>
        </is>
      </c>
      <c r="D17" s="11" t="inlineStr">
        <is>
          <t>Items, slot IDs</t>
        </is>
      </c>
      <c r="E17" s="11" t="inlineStr">
        <is>
          <t>30 ô; vật liệu stack 99; Gu unique 1 ô/instance; lọc Gu/nguyên liệu/vật phẩm; sort chỉ thay layout. | Thử negative case: Không gộp Gu instance; túi đầy báo thiếu ô</t>
        </is>
      </c>
      <c r="F17" s="11" t="inlineStr">
        <is>
          <t>Stack 98+3 thành 99+2; không tạo/xóa item bằng sort.</t>
        </is>
      </c>
      <c r="G17" s="11" t="inlineStr">
        <is>
          <t>P1</t>
        </is>
      </c>
      <c r="H17" s="11" t="inlineStr">
        <is>
          <t>G3</t>
        </is>
      </c>
      <c r="I17" s="11" t="inlineStr">
        <is>
          <t>GD + owner kỹ thuật</t>
        </is>
      </c>
      <c r="J17" s="11" t="inlineStr">
        <is>
          <t>Chưa chạy</t>
        </is>
      </c>
      <c r="K17" s="11" t="inlineStr"/>
      <c r="L17" s="11" t="inlineStr"/>
    </row>
    <row r="18" ht="39" customHeight="1">
      <c r="A18" s="12" t="inlineStr">
        <is>
          <t>TC-CL-014</t>
        </is>
      </c>
      <c r="B18" s="12" t="inlineStr">
        <is>
          <t>CL-014</t>
        </is>
      </c>
      <c r="C18" s="12" t="inlineStr">
        <is>
          <t>Tooltip và khóa Cổ</t>
        </is>
      </c>
      <c r="D18" s="12" t="inlineStr">
        <is>
          <t>Gu instance/config</t>
        </is>
      </c>
      <c r="E18" s="12" t="inlineStr">
        <is>
          <t>Hiện rank/type/mana/cooldown/food/hunger/bound; người chơi lock để chống chọn nhầm khi luyện hoặc bán. | Thử negative case: Locked/equipped không dùng làm nguyên liệu</t>
        </is>
      </c>
      <c r="F18" s="12" t="inlineStr">
        <is>
          <t>Tooltip khớp catalog; khóa có hiệu lực sau reconnect.</t>
        </is>
      </c>
      <c r="G18" s="12" t="inlineStr">
        <is>
          <t>P1</t>
        </is>
      </c>
      <c r="H18" s="12" t="inlineStr">
        <is>
          <t>G3</t>
        </is>
      </c>
      <c r="I18" s="12" t="inlineStr">
        <is>
          <t>GD + owner kỹ thuật</t>
        </is>
      </c>
      <c r="J18" s="12" t="inlineStr">
        <is>
          <t>Chưa chạy</t>
        </is>
      </c>
      <c r="K18" s="12" t="inlineStr"/>
      <c r="L18" s="12" t="inlineStr"/>
    </row>
    <row r="19" ht="39" customHeight="1">
      <c r="A19" s="11" t="inlineStr">
        <is>
          <t>TC-CL-015</t>
        </is>
      </c>
      <c r="B19" s="11" t="inlineStr">
        <is>
          <t>CL-015</t>
        </is>
      </c>
      <c r="C19" s="11" t="inlineStr">
        <is>
          <t>Trang bị và tháo Cổ</t>
        </is>
      </c>
      <c r="D19" s="11" t="inlineStr">
        <is>
          <t>Slot, Gu instance, expectedVersion</t>
        </is>
      </c>
      <c r="E19" s="11" t="inlineStr">
        <is>
          <t>4 active từ rank I; 2 passive khi rank II; không trùng definition trên cùng loadout; sửa ở safe zone và ngoài combat 5 giây. | Thử negative case: Sai rank/type/duplicate/đang combat: reject</t>
        </is>
      </c>
      <c r="F19" s="11" t="inlineStr">
        <is>
          <t>Swap nguyên tử; không tồn tại 1 Gu ở 2 slot; stats không cộng lặp.</t>
        </is>
      </c>
      <c r="G19" s="11" t="inlineStr">
        <is>
          <t>P1</t>
        </is>
      </c>
      <c r="H19" s="11" t="inlineStr">
        <is>
          <t>G3</t>
        </is>
      </c>
      <c r="I19" s="11" t="inlineStr">
        <is>
          <t>GD + owner kỹ thuật</t>
        </is>
      </c>
      <c r="J19" s="11" t="inlineStr">
        <is>
          <t>Chưa chạy</t>
        </is>
      </c>
      <c r="K19" s="11" t="inlineStr"/>
      <c r="L19" s="11" t="inlineStr"/>
    </row>
    <row r="20" ht="39" customHeight="1">
      <c r="A20" s="12" t="inlineStr">
        <is>
          <t>TC-CL-016</t>
        </is>
      </c>
      <c r="B20" s="12" t="inlineStr">
        <is>
          <t>CL-016</t>
        </is>
      </c>
      <c r="C20" s="12" t="inlineStr">
        <is>
          <t>Bắt Hoang Cổ</t>
        </is>
      </c>
      <c r="D20" s="12" t="inlineStr">
        <is>
          <t>Spawn ID, capture seal</t>
        </is>
      </c>
      <c r="E20" s="12" t="inlineStr">
        <is>
          <t>Quái có cờ capturable; HP≤30%; gần≤3 tile; channel 2 giây, nhận damage thì hủy; seal tiêu khi channel hợp lệ bắt đầu. | Thử negative case: Túi đầy/target không hợp lệ: không bắt đầu, không tiêu seal</t>
        </is>
      </c>
      <c r="F20" s="12" t="inlineStr">
        <is>
          <t>Hai người bắt cùng spawn chỉ một người giữ claim; chết/bắt chỉ một terminal result.</t>
        </is>
      </c>
      <c r="G20" s="12" t="inlineStr">
        <is>
          <t>P1</t>
        </is>
      </c>
      <c r="H20" s="12" t="inlineStr">
        <is>
          <t>G3</t>
        </is>
      </c>
      <c r="I20" s="12" t="inlineStr">
        <is>
          <t>GD + owner kỹ thuật</t>
        </is>
      </c>
      <c r="J20" s="12" t="inlineStr">
        <is>
          <t>Chưa chạy</t>
        </is>
      </c>
      <c r="K20" s="12" t="inlineStr"/>
      <c r="L20" s="12" t="inlineStr"/>
    </row>
    <row r="21" ht="39" customHeight="1">
      <c r="A21" s="11" t="inlineStr">
        <is>
          <t>TC-CL-017</t>
        </is>
      </c>
      <c r="B21" s="11" t="inlineStr">
        <is>
          <t>CL-017</t>
        </is>
      </c>
      <c r="C21" s="11" t="inlineStr">
        <is>
          <t>Cho ăn và trạng thái đói</t>
        </is>
      </c>
      <c r="D21" s="11" t="inlineStr">
        <is>
          <t>Gu instance, food instance/qty</t>
        </is>
      </c>
      <c r="E21" s="11" t="inlineStr">
        <is>
          <t>Hunger 0–100, giảm 1 điểm/5 phút online khi equipped; offline dừng; &lt;20 yếu đi, 0 ngủ, không chết; đồ ăn phù hợp +40. | Thử negative case: Sai thức ăn/đầy hunger: reject không mất đồ</t>
        </is>
      </c>
      <c r="F21" s="11" t="inlineStr">
        <is>
          <t>Feed một lần +40 cap100; online/offline không bị tính đôi.</t>
        </is>
      </c>
      <c r="G21" s="11" t="inlineStr">
        <is>
          <t>P1</t>
        </is>
      </c>
      <c r="H21" s="11" t="inlineStr">
        <is>
          <t>G3</t>
        </is>
      </c>
      <c r="I21" s="11" t="inlineStr">
        <is>
          <t>GD + owner kỹ thuật</t>
        </is>
      </c>
      <c r="J21" s="11" t="inlineStr">
        <is>
          <t>Chưa chạy</t>
        </is>
      </c>
      <c r="K21" s="11" t="inlineStr"/>
      <c r="L21" s="11" t="inlineStr"/>
    </row>
    <row r="22" ht="39" customHeight="1">
      <c r="A22" s="12" t="inlineStr">
        <is>
          <t>TC-CL-018</t>
        </is>
      </c>
      <c r="B22" s="12" t="inlineStr">
        <is>
          <t>CL-018</t>
        </is>
      </c>
      <c r="C22" s="12" t="inlineStr">
        <is>
          <t>Chọn công thức và preview</t>
        </is>
      </c>
      <c r="D22" s="12" t="inlineStr">
        <is>
          <t>Recipe ID, input instance IDs</t>
        </is>
      </c>
      <c r="E22" s="12" t="inlineStr">
        <is>
          <t>10 recipe rank I→II; chọn 2 instance Cổ khác nhau, vật liệu, tiền; hiển thị tỷ lệ hiện tại/pity và điều gì mất khi fail. | Thử negative case: Locked/equipped/sai sở hữu/rank: chặn</t>
        </is>
      </c>
      <c r="F22" s="12" t="inlineStr">
        <is>
          <t>Preview và server dùng cùng configVersion; không có xác suất ẩn.</t>
        </is>
      </c>
      <c r="G22" s="12" t="inlineStr">
        <is>
          <t>P1</t>
        </is>
      </c>
      <c r="H22" s="12" t="inlineStr">
        <is>
          <t>G3</t>
        </is>
      </c>
      <c r="I22" s="12" t="inlineStr">
        <is>
          <t>GD + owner kỹ thuật</t>
        </is>
      </c>
      <c r="J22" s="12" t="inlineStr">
        <is>
          <t>Chưa chạy</t>
        </is>
      </c>
      <c r="K22" s="12" t="inlineStr"/>
      <c r="L22" s="12" t="inlineStr"/>
    </row>
    <row r="23" ht="39" customHeight="1">
      <c r="A23" s="11" t="inlineStr">
        <is>
          <t>TC-CL-019</t>
        </is>
      </c>
      <c r="B23" s="11" t="inlineStr">
        <is>
          <t>CL-019</t>
        </is>
      </c>
      <c r="C23" s="11" t="inlineStr">
        <is>
          <t>Thực hiện luyện và xem kết quả</t>
        </is>
      </c>
      <c r="D23" s="11" t="inlineStr">
        <is>
          <t>Request ID, recipe, inputs, version</t>
        </is>
      </c>
      <c r="E23" s="11" t="inlineStr">
        <is>
          <t>Server roll; base 70%, fail tăng 10 điểm phần trăm đến 100%; fail mất vật liệu/tiền, giữ 2 Cổ; success mất input và tạo 1 Cổ II. | Thử negative case: Timeout: tra receipt/retry cùng ID; không gửi roll mới</t>
        </is>
      </c>
      <c r="F23" s="11" t="inlineStr">
        <is>
          <t>Retry 20 lần cùng ID trả cùng kết quả và chỉ tiêu hao một lần.</t>
        </is>
      </c>
      <c r="G23" s="11" t="inlineStr">
        <is>
          <t>P1</t>
        </is>
      </c>
      <c r="H23" s="11" t="inlineStr">
        <is>
          <t>G3</t>
        </is>
      </c>
      <c r="I23" s="11" t="inlineStr">
        <is>
          <t>GD + owner kỹ thuật</t>
        </is>
      </c>
      <c r="J23" s="11" t="inlineStr">
        <is>
          <t>Chưa chạy</t>
        </is>
      </c>
      <c r="K23" s="11" t="inlineStr"/>
      <c r="L23" s="11" t="inlineStr"/>
    </row>
    <row r="24" ht="39" customHeight="1">
      <c r="A24" s="12" t="inlineStr">
        <is>
          <t>TC-CL-020</t>
        </is>
      </c>
      <c r="B24" s="12" t="inlineStr">
        <is>
          <t>CL-020</t>
        </is>
      </c>
      <c r="C24" s="12" t="inlineStr">
        <is>
          <t>Cấp 1–20 và Nhất/Nhị Chuyển</t>
        </is>
      </c>
      <c r="D24" s="12" t="inlineStr">
        <is>
          <t>XP events; rank-up intent</t>
        </is>
      </c>
      <c r="E24" s="12" t="inlineStr">
        <is>
          <t>XP tích lũy; rank I ban đầu, rank II cần level 10 + quest 08 +500 tiền +10 đá; mở passive và dùng Cổ II. | Thử negative case: Thiếu điều kiện: liệt kê thiếu; cấp 20 dừng tăng</t>
        </is>
      </c>
      <c r="F24" s="12" t="inlineStr">
        <is>
          <t>Level 10 chưa thăng rank không trang bị Cổ II; rank-up lặp không tiêu thêm.</t>
        </is>
      </c>
      <c r="G24" s="12" t="inlineStr">
        <is>
          <t>P1</t>
        </is>
      </c>
      <c r="H24" s="12" t="inlineStr">
        <is>
          <t>G3</t>
        </is>
      </c>
      <c r="I24" s="12" t="inlineStr">
        <is>
          <t>GD + owner kỹ thuật</t>
        </is>
      </c>
      <c r="J24" s="12" t="inlineStr">
        <is>
          <t>Chưa chạy</t>
        </is>
      </c>
      <c r="K24" s="12" t="inlineStr"/>
      <c r="L24" s="12" t="inlineStr"/>
    </row>
    <row r="25" ht="39" customHeight="1">
      <c r="A25" s="11" t="inlineStr">
        <is>
          <t>TC-CL-021</t>
        </is>
      </c>
      <c r="B25" s="11" t="inlineStr">
        <is>
          <t>CL-021</t>
        </is>
      </c>
      <c r="C25" s="11" t="inlineStr">
        <is>
          <t>10 quest và tracker</t>
        </is>
      </c>
      <c r="D25" s="11" t="inlineStr">
        <is>
          <t>Quest ID; gameplay events</t>
        </is>
      </c>
      <c r="E25" s="11" t="inlineStr">
        <is>
          <t>8 chính +2 phụ; trạng thái locked/available/active/completed/claimed; 3 tracker; event kill/capture/feed/craft/dungeon. | Thử negative case: Quest item không đủ/đã claim: không nhận lại</t>
        </is>
      </c>
      <c r="F25" s="11" t="inlineStr">
        <is>
          <t>Progress reconnect còn đúng; Q08 chỉ mở Q09 khi rank II.</t>
        </is>
      </c>
      <c r="G25" s="11" t="inlineStr">
        <is>
          <t>P1</t>
        </is>
      </c>
      <c r="H25" s="11" t="inlineStr">
        <is>
          <t>G3</t>
        </is>
      </c>
      <c r="I25" s="11" t="inlineStr">
        <is>
          <t>GD + owner kỹ thuật</t>
        </is>
      </c>
      <c r="J25" s="11" t="inlineStr">
        <is>
          <t>Chưa chạy</t>
        </is>
      </c>
      <c r="K25" s="11" t="inlineStr"/>
      <c r="L25" s="11" t="inlineStr"/>
    </row>
    <row r="26" ht="39" customHeight="1">
      <c r="A26" s="12" t="inlineStr">
        <is>
          <t>TC-CL-022</t>
        </is>
      </c>
      <c r="B26" s="12" t="inlineStr">
        <is>
          <t>CL-022</t>
        </is>
      </c>
      <c r="C26" s="12" t="inlineStr">
        <is>
          <t>Mua/bán với NPC</t>
        </is>
      </c>
      <c r="D26" s="12" t="inlineStr">
        <is>
          <t>NPC ID, item ID, qty, version</t>
        </is>
      </c>
      <c r="E26" s="12" t="inlineStr">
        <is>
          <t>NPC fixed price; bán vật liệu và Gu không khóa/không equipped; toàn bộ Gu bound trong MVP; không giao dịch người chơi. | Thử negative case: Xa NPC, thiếu tiền, thiếu ô, qty sai: reject</t>
        </is>
      </c>
      <c r="F26" s="12" t="inlineStr">
        <is>
          <t>Mua/bán concurrent không âm tiền/item; 1 receipt cho 1 request.</t>
        </is>
      </c>
      <c r="G26" s="12" t="inlineStr">
        <is>
          <t>P1</t>
        </is>
      </c>
      <c r="H26" s="12" t="inlineStr">
        <is>
          <t>G3</t>
        </is>
      </c>
      <c r="I26" s="12" t="inlineStr">
        <is>
          <t>GD + owner kỹ thuật</t>
        </is>
      </c>
      <c r="J26" s="12" t="inlineStr">
        <is>
          <t>Chưa chạy</t>
        </is>
      </c>
      <c r="K26" s="12" t="inlineStr"/>
      <c r="L26" s="12" t="inlineStr"/>
    </row>
    <row r="27" ht="39" customHeight="1">
      <c r="A27" s="11" t="inlineStr">
        <is>
          <t>TC-CL-023</t>
        </is>
      </c>
      <c r="B27" s="11" t="inlineStr">
        <is>
          <t>CL-023</t>
        </is>
      </c>
      <c r="C27" s="11" t="inlineStr">
        <is>
          <t>Party tối đa 3 người</t>
        </is>
      </c>
      <c r="D27" s="11" t="inlineStr">
        <is>
          <t>Player ID, invite ID</t>
        </is>
      </c>
      <c r="E27" s="11" t="inlineStr">
        <is>
          <t>Mời, accept/decline, kick, leave; invite TTL 30 giây; leader rời thì chuyển người vào sớm nhất; không auto-match. | Thử negative case: Đầy/đã party/expired: reject không tạo hai membership</t>
        </is>
      </c>
      <c r="F27" s="11" t="inlineStr">
        <is>
          <t>Hai invite đồng thời không làm người chơi ở2 party; thành viên 4 bị chặn.</t>
        </is>
      </c>
      <c r="G27" s="11" t="inlineStr">
        <is>
          <t>P1</t>
        </is>
      </c>
      <c r="H27" s="11" t="inlineStr">
        <is>
          <t>G4</t>
        </is>
      </c>
      <c r="I27" s="11" t="inlineStr">
        <is>
          <t>GD + owner kỹ thuật</t>
        </is>
      </c>
      <c r="J27" s="11" t="inlineStr">
        <is>
          <t>Chưa chạy</t>
        </is>
      </c>
      <c r="K27" s="11" t="inlineStr"/>
      <c r="L27" s="11" t="inlineStr"/>
    </row>
    <row r="28" ht="39" customHeight="1">
      <c r="A28" s="12" t="inlineStr">
        <is>
          <t>TC-CL-024</t>
        </is>
      </c>
      <c r="B28" s="12" t="inlineStr">
        <is>
          <t>CL-024</t>
        </is>
      </c>
      <c r="C28" s="12" t="inlineStr">
        <is>
          <t>Chat zone/party, mute/report</t>
        </is>
      </c>
      <c r="D28" s="12" t="inlineStr">
        <is>
          <t>Channel, text, message ID</t>
        </is>
      </c>
      <c r="E28" s="12" t="inlineStr">
        <is>
          <t>Tối đa 200 ký tự/message;2 message/giây burst 4; hiển thị text escaped; local mute; report lưu bằng chứng message ID. | Thử negative case: Không party không gửi party; HTML không render</t>
        </is>
      </c>
      <c r="F28" s="12" t="inlineStr">
        <is>
          <t>Chat chỉ tới người đúng channel; gõ QWER trong chat không cast.</t>
        </is>
      </c>
      <c r="G28" s="12" t="inlineStr">
        <is>
          <t>P1</t>
        </is>
      </c>
      <c r="H28" s="12" t="inlineStr">
        <is>
          <t>G5</t>
        </is>
      </c>
      <c r="I28" s="12" t="inlineStr">
        <is>
          <t>GD + owner kỹ thuật</t>
        </is>
      </c>
      <c r="J28" s="12" t="inlineStr">
        <is>
          <t>Chưa chạy</t>
        </is>
      </c>
      <c r="K28" s="12" t="inlineStr"/>
      <c r="L28" s="12" t="inlineStr"/>
    </row>
    <row r="29" ht="54" customHeight="1">
      <c r="A29" s="11" t="inlineStr">
        <is>
          <t>TC-CL-025</t>
        </is>
      </c>
      <c r="B29" s="11" t="inlineStr">
        <is>
          <t>CL-025</t>
        </is>
      </c>
      <c r="C29" s="11" t="inlineStr">
        <is>
          <t>Phụ bản 1–3 người và boss</t>
        </is>
      </c>
      <c r="D29" s="11" t="inlineStr">
        <is>
          <t>Party, ready, portal</t>
        </is>
      </c>
      <c r="E29" s="11" t="inlineStr">
        <is>
          <t>Leader tạo; mọi người level 10/rank II ở portal và ready; instance 15 phút;1 boss 2 pattern; loot cá nhân; một reward/run/character. | Thử negative case: Thiếu điều kiện từ chối cả nhóm; wipe hồi entry; hết giờ đóng</t>
        </is>
      </c>
      <c r="F29" s="11" t="inlineStr">
        <is>
          <t>Ba người vào đúng một run; boss chết lặp không tạo thêm reward.</t>
        </is>
      </c>
      <c r="G29" s="11" t="inlineStr">
        <is>
          <t>P1</t>
        </is>
      </c>
      <c r="H29" s="11" t="inlineStr">
        <is>
          <t>G4</t>
        </is>
      </c>
      <c r="I29" s="11" t="inlineStr">
        <is>
          <t>GD + owner kỹ thuật</t>
        </is>
      </c>
      <c r="J29" s="11" t="inlineStr">
        <is>
          <t>Chưa chạy</t>
        </is>
      </c>
      <c r="K29" s="11" t="inlineStr"/>
      <c r="L29" s="11" t="inlineStr"/>
    </row>
    <row r="30" ht="54" customHeight="1">
      <c r="A30" s="12" t="inlineStr">
        <is>
          <t>TC-CL-026</t>
        </is>
      </c>
      <c r="B30" s="12" t="inlineStr">
        <is>
          <t>CL-026</t>
        </is>
      </c>
      <c r="C30" s="12" t="inlineStr">
        <is>
          <t>PK opt-in 1v1</t>
        </is>
      </c>
      <c r="D30" s="12" t="inlineStr">
        <is>
          <t>Invite, accept, loadout snapshot</t>
        </is>
      </c>
      <c r="E30" s="12" t="inlineStr">
        <is>
          <t>Hai bên accept; ready 10 giây/countdown 3 giây; trận 180 giây; stats thật, PvP damage×0.7; hòa khi hết giờ; không thưởng tiền/loot. | Thử negative case: Ngoài arena không gây damage người chơi; disconnect&gt;30 giây xử thua</t>
        </is>
      </c>
      <c r="F30" s="12" t="inlineStr">
        <is>
          <t>Một trận có 1 result; không mất Cổ/tiền do chết arena; loadout không sửa giữa trận.</t>
        </is>
      </c>
      <c r="G30" s="12" t="inlineStr">
        <is>
          <t>P1</t>
        </is>
      </c>
      <c r="H30" s="12" t="inlineStr">
        <is>
          <t>G4</t>
        </is>
      </c>
      <c r="I30" s="12" t="inlineStr">
        <is>
          <t>GD + owner kỹ thuật</t>
        </is>
      </c>
      <c r="J30" s="12" t="inlineStr">
        <is>
          <t>Chưa chạy</t>
        </is>
      </c>
      <c r="K30" s="12" t="inlineStr"/>
      <c r="L30" s="12" t="inlineStr"/>
    </row>
    <row r="31" ht="39" customHeight="1">
      <c r="A31" s="11" t="inlineStr">
        <is>
          <t>TC-CL-027</t>
        </is>
      </c>
      <c r="B31" s="11" t="inlineStr">
        <is>
          <t>CL-027</t>
        </is>
      </c>
      <c r="C31" s="11" t="inlineStr">
        <is>
          <t>Mất kết nối và trở lại</t>
        </is>
      </c>
      <c r="D31" s="11" t="inlineStr">
        <is>
          <t>Reconnect token/session</t>
        </is>
      </c>
      <c r="E31" s="11" t="inlineStr">
        <is>
          <t>Overlay ngay khi mất kết nối; grace 30 giây; tạm dừng input; reconnect nhận snapshot đầy đủ, receipt còn pending có thể query. | Thử negative case: Hết grace: login lại; không phát lại queue cast cũ</t>
        </is>
      </c>
      <c r="F31" s="11" t="inlineStr">
        <is>
          <t>Rút mạng 10 giây trở lại cùng nhân vật; inventory không nhân đôi.</t>
        </is>
      </c>
      <c r="G31" s="11" t="inlineStr">
        <is>
          <t>P1</t>
        </is>
      </c>
      <c r="H31" s="11" t="inlineStr">
        <is>
          <t>G3</t>
        </is>
      </c>
      <c r="I31" s="11" t="inlineStr">
        <is>
          <t>GD + owner kỹ thuật</t>
        </is>
      </c>
      <c r="J31" s="11" t="inlineStr">
        <is>
          <t>Chưa chạy</t>
        </is>
      </c>
      <c r="K31" s="11" t="inlineStr"/>
      <c r="L31" s="11" t="inlineStr"/>
    </row>
    <row r="32" ht="39" customHeight="1">
      <c r="A32" s="12" t="inlineStr">
        <is>
          <t>TC-CL-028</t>
        </is>
      </c>
      <c r="B32" s="12" t="inlineStr">
        <is>
          <t>CL-028</t>
        </is>
      </c>
      <c r="C32" s="12" t="inlineStr">
        <is>
          <t>Thiết lập PC và lưu tùy chọn</t>
        </is>
      </c>
      <c r="D32" s="12" t="inlineStr">
        <is>
          <t>Settings values</t>
        </is>
      </c>
      <c r="E32" s="12" t="inlineStr">
        <is>
          <t>Âm lượng master/music/SFX, mute, quality low/normal, remap QWER/1; local preferences; UI tiếng Việt trước. | Thử negative case: Trùng phím: báo và yêu cầu thay; không bind vào chat input</t>
        </is>
      </c>
      <c r="F32" s="12" t="inlineStr">
        <is>
          <t>Reload giữ tùy chọn; trình duyệt chặn autoplay thì mở audio sau gesture.</t>
        </is>
      </c>
      <c r="G32" s="12" t="inlineStr">
        <is>
          <t>P1</t>
        </is>
      </c>
      <c r="H32" s="12" t="inlineStr">
        <is>
          <t>G5</t>
        </is>
      </c>
      <c r="I32" s="12" t="inlineStr">
        <is>
          <t>GD + owner kỹ thuật</t>
        </is>
      </c>
      <c r="J32" s="12" t="inlineStr">
        <is>
          <t>Chưa chạy</t>
        </is>
      </c>
      <c r="K32" s="12" t="inlineStr"/>
      <c r="L32" s="12" t="inlineStr"/>
    </row>
    <row r="33" ht="39" customHeight="1">
      <c r="A33" s="11" t="inlineStr">
        <is>
          <t>TC-CL-029</t>
        </is>
      </c>
      <c r="B33" s="11" t="inlineStr">
        <is>
          <t>CL-029</t>
        </is>
      </c>
      <c r="C33" s="11" t="inlineStr">
        <is>
          <t>30 giây đầu và tutorial</t>
        </is>
      </c>
      <c r="D33" s="11" t="inlineStr">
        <is>
          <t>New character, tutorial step</t>
        </is>
      </c>
      <c r="E33" s="11" t="inlineStr">
        <is>
          <t>Từ spawn an toàn: click di chuyển, Q đánh mục tiêu huấn luyện, nhặt thức ăn, mở túi; tiếp tục quest dài hơn sau đó. | Thử negative case: Bỏ qua vẫn có starter kit; reload không cấp thêm</t>
        </is>
      </c>
      <c r="F33" s="11" t="inlineStr">
        <is>
          <t>≥80% trong tối thiểu 10 tester hoàn thành phần điều khiển ≤3 phút không người hướng dẫn.</t>
        </is>
      </c>
      <c r="G33" s="11" t="inlineStr">
        <is>
          <t>P1</t>
        </is>
      </c>
      <c r="H33" s="11" t="inlineStr">
        <is>
          <t>G5</t>
        </is>
      </c>
      <c r="I33" s="11" t="inlineStr">
        <is>
          <t>GD + owner kỹ thuật</t>
        </is>
      </c>
      <c r="J33" s="11" t="inlineStr">
        <is>
          <t>Chưa chạy</t>
        </is>
      </c>
      <c r="K33" s="11" t="inlineStr"/>
      <c r="L33" s="11" t="inlineStr"/>
    </row>
    <row r="34" ht="39" customHeight="1">
      <c r="A34" s="12" t="inlineStr">
        <is>
          <t>TC-CL-030</t>
        </is>
      </c>
      <c r="B34" s="12" t="inlineStr">
        <is>
          <t>CL-030</t>
        </is>
      </c>
      <c r="C34" s="12" t="inlineStr">
        <is>
          <t>Danh mục Cổ và build</t>
        </is>
      </c>
      <c r="D34" s="12" t="inlineStr">
        <is>
          <t>Catalog/configVersion</t>
        </is>
      </c>
      <c r="E34" s="12" t="inlineStr">
        <is>
          <t>20 Cổ với rank, loại, target, mana, cooldown, thức ăn, recipe; lọc owned/all; không gợi ý build trả tiền. | Thử negative case: Config thiếu hiển thị fallback và log lỗi</t>
        </is>
      </c>
      <c r="F34" s="12" t="inlineStr">
        <is>
          <t>20/20 Cổ có tooltip đủ số; Cổ chưa sở hữu không equip được.</t>
        </is>
      </c>
      <c r="G34" s="12" t="inlineStr">
        <is>
          <t>P1</t>
        </is>
      </c>
      <c r="H34" s="12" t="inlineStr">
        <is>
          <t>G3</t>
        </is>
      </c>
      <c r="I34" s="12" t="inlineStr">
        <is>
          <t>GD + owner kỹ thuật</t>
        </is>
      </c>
      <c r="J34" s="12" t="inlineStr">
        <is>
          <t>Chưa chạy</t>
        </is>
      </c>
      <c r="K34" s="12" t="inlineStr"/>
      <c r="L34" s="12" t="inlineStr"/>
    </row>
    <row r="35" ht="39" customHeight="1">
      <c r="A35" s="11" t="inlineStr">
        <is>
          <t>TC-SV-001</t>
        </is>
      </c>
      <c r="B35" s="11" t="inlineStr">
        <is>
          <t>SV-001</t>
        </is>
      </c>
      <c r="C35" s="11" t="inlineStr">
        <is>
          <t>Xác thực và vòng đời session</t>
        </is>
      </c>
      <c r="D35" s="11" t="inlineStr">
        <is>
          <t>Credentials/token</t>
        </is>
      </c>
      <c r="E35" s="11" t="inlineStr">
        <is>
          <t>Account mời; hash mật khẩu; session hết hạn/revoke; chỉ chủ sở hữu vào character; join room bắt buộc token hợp lệ. | Thử negative case: Token thiếu/hết hạn/sai chữ ký:401; không tin default library</t>
        </is>
      </c>
      <c r="F35" s="11" t="inlineStr">
        <is>
          <t>Tokenless hoặc token account khác không đọc/chơi character.</t>
        </is>
      </c>
      <c r="G35" s="11" t="inlineStr">
        <is>
          <t>P1</t>
        </is>
      </c>
      <c r="H35" s="11" t="inlineStr">
        <is>
          <t>G1</t>
        </is>
      </c>
      <c r="I35" s="11" t="inlineStr">
        <is>
          <t>GD + owner kỹ thuật</t>
        </is>
      </c>
      <c r="J35" s="11" t="inlineStr">
        <is>
          <t>Chưa chạy</t>
        </is>
      </c>
      <c r="K35" s="11" t="inlineStr"/>
      <c r="L35" s="11" t="inlineStr"/>
    </row>
    <row r="36" ht="39" customHeight="1">
      <c r="A36" s="12" t="inlineStr">
        <is>
          <t>TC-SV-002</t>
        </is>
      </c>
      <c r="B36" s="12" t="inlineStr">
        <is>
          <t>SV-002</t>
        </is>
      </c>
      <c r="C36" s="12" t="inlineStr">
        <is>
          <t>Server giữ quyền quyết định</t>
        </is>
      </c>
      <c r="D36" s="12" t="inlineStr">
        <is>
          <t>Intent sequence/entity IDs</t>
        </is>
      </c>
      <c r="E36" s="12" t="inlineStr">
        <is>
          <t>Client gửi intent; server tính vị trí, target, cooldown, HP, loot, RNG; simulation20Hz mục tiêu; patch10Hz ban đầu. | Thử negative case: Malformed/overspeed/outdated intent: reject và đếm metric</t>
        </is>
      </c>
      <c r="F36" s="12" t="inlineStr">
        <is>
          <t>Sửa HP/mana/position trên client không thay state server.</t>
        </is>
      </c>
      <c r="G36" s="12" t="inlineStr">
        <is>
          <t>P1</t>
        </is>
      </c>
      <c r="H36" s="12" t="inlineStr">
        <is>
          <t>G2</t>
        </is>
      </c>
      <c r="I36" s="12" t="inlineStr">
        <is>
          <t>GD + owner kỹ thuật</t>
        </is>
      </c>
      <c r="J36" s="12" t="inlineStr">
        <is>
          <t>Chưa chạy</t>
        </is>
      </c>
      <c r="K36" s="12" t="inlineStr"/>
      <c r="L36" s="12" t="inlineStr"/>
    </row>
    <row r="37" ht="39" customHeight="1">
      <c r="A37" s="11" t="inlineStr">
        <is>
          <t>TC-SV-003</t>
        </is>
      </c>
      <c r="B37" s="11" t="inlineStr">
        <is>
          <t>SV-003</t>
        </is>
      </c>
      <c r="C37" s="11" t="inlineStr">
        <is>
          <t>Lọc trạng thái theo vùng quan tâm</t>
        </is>
      </c>
      <c r="D37" s="11" t="inlineStr">
        <is>
          <t>Entity positions/permissions</t>
        </is>
      </c>
      <c r="E37" s="11" t="inlineStr">
        <is>
          <t>Grid AOI bán kính 12 tile + hysteresis2 tile; gửi bản thân/entities công khai; inventory/ẩn/GM không broadcast; mỗi map≤20 người. | Thử negative case: Không gửi trạng thái private kể cả full join snapshot</t>
        </is>
      </c>
      <c r="F37" s="11" t="inlineStr">
        <is>
          <t>Packet inspection không thấy túi đồ người khác hoặc entity ngoài AOI.</t>
        </is>
      </c>
      <c r="G37" s="11" t="inlineStr">
        <is>
          <t>P1</t>
        </is>
      </c>
      <c r="H37" s="11" t="inlineStr">
        <is>
          <t>G3</t>
        </is>
      </c>
      <c r="I37" s="11" t="inlineStr">
        <is>
          <t>GD + owner kỹ thuật</t>
        </is>
      </c>
      <c r="J37" s="11" t="inlineStr">
        <is>
          <t>Chưa chạy</t>
        </is>
      </c>
      <c r="K37" s="11" t="inlineStr"/>
      <c r="L37" s="11" t="inlineStr"/>
    </row>
    <row r="38" ht="39" customHeight="1">
      <c r="A38" s="12" t="inlineStr">
        <is>
          <t>TC-SV-004</t>
        </is>
      </c>
      <c r="B38" s="12" t="inlineStr">
        <is>
          <t>SV-004</t>
        </is>
      </c>
      <c r="C38" s="12" t="inlineStr">
        <is>
          <t>Chuyển map không trùng nhân vật</t>
        </is>
      </c>
      <c r="D38" s="12" t="inlineStr">
        <is>
          <t>Portal, character lease</t>
        </is>
      </c>
      <c r="E38" s="12" t="inlineStr">
        <is>
          <t>Reserve slot đích, đóng băng map nguồn, commit lease/version, persist checkpoint, join đích; lỗi trả về safe spawn đã lưu. | Thử negative case: Target full, process crash, token replay: abort/recover</t>
        </is>
      </c>
      <c r="F38" s="12" t="inlineStr">
        <is>
          <t>Kill process ở từng bước: tối đa 1 writer; không mất bag/đổi tiền.</t>
        </is>
      </c>
      <c r="G38" s="12" t="inlineStr">
        <is>
          <t>P1</t>
        </is>
      </c>
      <c r="H38" s="12" t="inlineStr">
        <is>
          <t>G3</t>
        </is>
      </c>
      <c r="I38" s="12" t="inlineStr">
        <is>
          <t>GD + owner kỹ thuật</t>
        </is>
      </c>
      <c r="J38" s="12" t="inlineStr">
        <is>
          <t>Chưa chạy</t>
        </is>
      </c>
      <c r="K38" s="12" t="inlineStr"/>
      <c r="L38" s="12" t="inlineStr"/>
    </row>
    <row r="39" ht="54" customHeight="1">
      <c r="A39" s="11" t="inlineStr">
        <is>
          <t>TC-SV-005</t>
        </is>
      </c>
      <c r="B39" s="11" t="inlineStr">
        <is>
          <t>SV-005</t>
        </is>
      </c>
      <c r="C39" s="11" t="inlineStr">
        <is>
          <t>Giải quyết cast và trạng thái</t>
        </is>
      </c>
      <c r="D39" s="11" t="inlineStr">
        <is>
          <t>Cast intent/configVersion</t>
        </is>
      </c>
      <c r="E39" s="11" t="inlineStr">
        <is>
          <t>Check ownership/equip/rank/hunger/range/LOS/alive/mana/cooldown; mana và cooldown tiêu khi cast được accept; hủy sau accept vẫn tiêu. | Thử negative case: CC hoặc target invalid trước accept: không tiêu; server clock quyết định</t>
        </is>
      </c>
      <c r="F39" s="11" t="inlineStr">
        <is>
          <t>10negative cases mỗi primitive bị chặn; 1 cast không gây hit trùng.</t>
        </is>
      </c>
      <c r="G39" s="11" t="inlineStr">
        <is>
          <t>P1</t>
        </is>
      </c>
      <c r="H39" s="11" t="inlineStr">
        <is>
          <t>G3</t>
        </is>
      </c>
      <c r="I39" s="11" t="inlineStr">
        <is>
          <t>GD + owner kỹ thuật</t>
        </is>
      </c>
      <c r="J39" s="11" t="inlineStr">
        <is>
          <t>Chưa chạy</t>
        </is>
      </c>
      <c r="K39" s="11" t="inlineStr"/>
      <c r="L39" s="11" t="inlineStr"/>
    </row>
    <row r="40" ht="54" customHeight="1">
      <c r="A40" s="12" t="inlineStr">
        <is>
          <t>TC-SV-006</t>
        </is>
      </c>
      <c r="B40" s="12" t="inlineStr">
        <is>
          <t>SV-006</t>
        </is>
      </c>
      <c r="C40" s="12" t="inlineStr">
        <is>
          <t>AI, respawn và quyền thưởng</t>
        </is>
      </c>
      <c r="D40" s="12" t="inlineStr">
        <is>
          <t>Spawn ID, damage events</t>
        </is>
      </c>
      <c r="E40" s="12" t="inlineStr">
        <is>
          <t>6 normal/2 elite/1 boss; leash 8 tile; respawn normal20s/elite60s; owner là first valid hit trong encounter, reset khi leash; kill/capture độc quyền. | Thử negative case: Owner disconnect vẫn giữ10s; sau đó reset nếu không combat</t>
        </is>
      </c>
      <c r="F40" s="12" t="inlineStr">
        <is>
          <t>Leash heal/reset đúng; hai kill callbacks chỉ một terminal transition.</t>
        </is>
      </c>
      <c r="G40" s="12" t="inlineStr">
        <is>
          <t>P1</t>
        </is>
      </c>
      <c r="H40" s="12" t="inlineStr">
        <is>
          <t>G3</t>
        </is>
      </c>
      <c r="I40" s="12" t="inlineStr">
        <is>
          <t>GD + owner kỹ thuật</t>
        </is>
      </c>
      <c r="J40" s="12" t="inlineStr">
        <is>
          <t>Chưa chạy</t>
        </is>
      </c>
      <c r="K40" s="12" t="inlineStr"/>
      <c r="L40" s="12" t="inlineStr"/>
    </row>
    <row r="41" ht="54" customHeight="1">
      <c r="A41" s="11" t="inlineStr">
        <is>
          <t>TC-SV-007</t>
        </is>
      </c>
      <c r="B41" s="11" t="inlineStr">
        <is>
          <t>SV-007</t>
        </is>
      </c>
      <c r="C41" s="11" t="inlineStr">
        <is>
          <t>Lưu bền vững và checkpoint</t>
        </is>
      </c>
      <c r="D41" s="11" t="inlineStr">
        <is>
          <t>Commands/snapshots</t>
        </is>
      </c>
      <c r="E41" s="11" t="inlineStr">
        <is>
          <t>Bag/currency/quest/craft/claim ghi transaction trước ACK; vị trí/HP/hunger checkpoint≤30s, logout flush; crash hồi vị trí an toàn nếu cần. | Thử negative case: DB lỗi: không ACK thành công, không cấp thưởng trước commit</t>
        </is>
      </c>
      <c r="F41" s="11" t="inlineStr">
        <is>
          <t>Kill/restart sau ACK: item/tiền còn đúng; vị trí có thể rollback≤30s.</t>
        </is>
      </c>
      <c r="G41" s="11" t="inlineStr">
        <is>
          <t>P1</t>
        </is>
      </c>
      <c r="H41" s="11" t="inlineStr">
        <is>
          <t>G3</t>
        </is>
      </c>
      <c r="I41" s="11" t="inlineStr">
        <is>
          <t>GD + owner kỹ thuật</t>
        </is>
      </c>
      <c r="J41" s="11" t="inlineStr">
        <is>
          <t>Chưa chạy</t>
        </is>
      </c>
      <c r="K41" s="11" t="inlineStr"/>
      <c r="L41" s="11" t="inlineStr"/>
    </row>
    <row r="42" ht="54" customHeight="1">
      <c r="A42" s="12" t="inlineStr">
        <is>
          <t>TC-SV-008</t>
        </is>
      </c>
      <c r="B42" s="12" t="inlineStr">
        <is>
          <t>SV-008</t>
        </is>
      </c>
      <c r="C42" s="12" t="inlineStr">
        <is>
          <t>Ledger và idempotency</t>
        </is>
      </c>
      <c r="D42" s="12" t="inlineStr">
        <is>
          <t>Request UUID, expectedVersion</t>
        </is>
      </c>
      <c r="E42" s="12" t="inlineStr">
        <is>
          <t>Unique(characterId, requestId); lock character→items tăng theo ID; validate version; tạo receipt/RNG/ledger trong cùng transaction; giữ receipt≥30 ngày. | Thử negative case: Cùng ID payload khác trả 409; deadlock retry bounded cùng ID</t>
        </is>
      </c>
      <c r="F42" s="12" t="inlineStr">
        <is>
          <t>20 retry/2 socket của craft, buy, feed chỉ một hiệu lực; ledger cân đối.</t>
        </is>
      </c>
      <c r="G42" s="12" t="inlineStr">
        <is>
          <t>P1</t>
        </is>
      </c>
      <c r="H42" s="12" t="inlineStr">
        <is>
          <t>G3</t>
        </is>
      </c>
      <c r="I42" s="12" t="inlineStr">
        <is>
          <t>GD + owner kỹ thuật</t>
        </is>
      </c>
      <c r="J42" s="12" t="inlineStr">
        <is>
          <t>Chưa chạy</t>
        </is>
      </c>
      <c r="K42" s="12" t="inlineStr"/>
      <c r="L42" s="12" t="inlineStr"/>
    </row>
    <row r="43" ht="54" customHeight="1">
      <c r="A43" s="11" t="inlineStr">
        <is>
          <t>TC-SV-009</t>
        </is>
      </c>
      <c r="B43" s="11" t="inlineStr">
        <is>
          <t>SV-009</t>
        </is>
      </c>
      <c r="C43" s="11" t="inlineStr">
        <is>
          <t>Reward inbox khi đầy túi</t>
        </is>
      </c>
      <c r="D43" s="11" t="inlineStr">
        <is>
          <t>Reward receipt, claim request</t>
        </is>
      </c>
      <c r="E43" s="11" t="inlineStr">
        <is>
          <t>Chỉ server tạo reward inbox persistent;100 entry/account; không hết hạn alpha; claim nguyên tử nếu đủ ô; đầy inbox dừng nguồn reward và cảnh báo. | Thử negative case: Inbox đầy không âm thầm xóa; dungeon entry bị chặn nếu thiếu capacity</t>
        </is>
      </c>
      <c r="F43" s="11" t="inlineStr">
        <is>
          <t>Bag đầy khi kill: reward còn trong inbox sau reconnect, claim 1 lần.</t>
        </is>
      </c>
      <c r="G43" s="11" t="inlineStr">
        <is>
          <t>P1</t>
        </is>
      </c>
      <c r="H43" s="11" t="inlineStr">
        <is>
          <t>G3</t>
        </is>
      </c>
      <c r="I43" s="11" t="inlineStr">
        <is>
          <t>GD + owner kỹ thuật</t>
        </is>
      </c>
      <c r="J43" s="11" t="inlineStr">
        <is>
          <t>Chưa chạy</t>
        </is>
      </c>
      <c r="K43" s="11" t="inlineStr"/>
      <c r="L43" s="11" t="inlineStr"/>
    </row>
    <row r="44" ht="54" customHeight="1">
      <c r="A44" s="12" t="inlineStr">
        <is>
          <t>TC-SV-010</t>
        </is>
      </c>
      <c r="B44" s="12" t="inlineStr">
        <is>
          <t>SV-010</t>
        </is>
      </c>
      <c r="C44" s="12" t="inlineStr">
        <is>
          <t>Săn bắt và hunger server</t>
        </is>
      </c>
      <c r="D44" s="12" t="inlineStr">
        <is>
          <t>Capture/feed intents; timers</t>
        </is>
      </c>
      <c r="E44" s="12" t="inlineStr">
        <is>
          <t>Claim spawn chống race; roll 70% sau channel; tiêu seal khi start; hủy không refund; hunger elapsed online dùng serverTime, inventory không equipped không giảm. | Thử negative case: Capture successful commit rồi spawn remove; DB fail phục hồi terminal pending</t>
        </is>
      </c>
      <c r="F44" s="12" t="inlineStr">
        <is>
          <t>Feed/reconnect không reset timer để né đói;0 hunger khóa active/passive.</t>
        </is>
      </c>
      <c r="G44" s="12" t="inlineStr">
        <is>
          <t>P1</t>
        </is>
      </c>
      <c r="H44" s="12" t="inlineStr">
        <is>
          <t>G3</t>
        </is>
      </c>
      <c r="I44" s="12" t="inlineStr">
        <is>
          <t>GD + owner kỹ thuật</t>
        </is>
      </c>
      <c r="J44" s="12" t="inlineStr">
        <is>
          <t>Chưa chạy</t>
        </is>
      </c>
      <c r="K44" s="12" t="inlineStr"/>
      <c r="L44" s="12" t="inlineStr"/>
    </row>
    <row r="45" ht="54" customHeight="1">
      <c r="A45" s="11" t="inlineStr">
        <is>
          <t>TC-SV-011</t>
        </is>
      </c>
      <c r="B45" s="11" t="inlineStr">
        <is>
          <t>SV-011</t>
        </is>
      </c>
      <c r="C45" s="11" t="inlineStr">
        <is>
          <t>Công thức, pity và roll server</t>
        </is>
      </c>
      <c r="D45" s="11" t="inlineStr">
        <is>
          <t>Recipe/input IDs/configVersion</t>
        </is>
      </c>
      <c r="E45" s="11" t="inlineStr">
        <is>
          <t>Pity theo character+recipe; chance=min(100,70+10×fails); RNG server và kết quả lưu transaction; success reset fails=0; fail giữ input. | Thử negative case: Stale preview config trả CONFIG_CHANGED trước consume; reuse input đồng thời bị lock</t>
        </is>
      </c>
      <c r="F45" s="11" t="inlineStr">
        <is>
          <t>Không output khi rollback; success tiêu 2 Gu; fail giữ 2 Gu; cả 2 mất material/fee.</t>
        </is>
      </c>
      <c r="G45" s="11" t="inlineStr">
        <is>
          <t>P1</t>
        </is>
      </c>
      <c r="H45" s="11" t="inlineStr">
        <is>
          <t>G3</t>
        </is>
      </c>
      <c r="I45" s="11" t="inlineStr">
        <is>
          <t>GD + owner kỹ thuật</t>
        </is>
      </c>
      <c r="J45" s="11" t="inlineStr">
        <is>
          <t>Chưa chạy</t>
        </is>
      </c>
      <c r="K45" s="11" t="inlineStr"/>
      <c r="L45" s="11" t="inlineStr"/>
    </row>
    <row r="46" ht="54" customHeight="1">
      <c r="A46" s="12" t="inlineStr">
        <is>
          <t>TC-SV-012</t>
        </is>
      </c>
      <c r="B46" s="12" t="inlineStr">
        <is>
          <t>SV-012</t>
        </is>
      </c>
      <c r="C46" s="12" t="inlineStr">
        <is>
          <t>XP, quest và rank-up từ event server</t>
        </is>
      </c>
      <c r="D46" s="12" t="inlineStr">
        <is>
          <t>Trusted gameplay event/claim</t>
        </is>
      </c>
      <c r="E46" s="12" t="inlineStr">
        <is>
          <t>Event ID unique; XP cumulative curve; quest chỉ event server; reward và claim cùng transaction; rank II unlock validate toàn bộ điều kiện. | Thử negative case: Event ID lặp bỏ qua; client tự gửi kill count bị reject</t>
        </is>
      </c>
      <c r="F46" s="12" t="inlineStr">
        <is>
          <t>Replay 100 event không tăng progress lần 2; rank-up chỉ một phí.</t>
        </is>
      </c>
      <c r="G46" s="12" t="inlineStr">
        <is>
          <t>P1</t>
        </is>
      </c>
      <c r="H46" s="12" t="inlineStr">
        <is>
          <t>G3</t>
        </is>
      </c>
      <c r="I46" s="12" t="inlineStr">
        <is>
          <t>GD + owner kỹ thuật</t>
        </is>
      </c>
      <c r="J46" s="12" t="inlineStr">
        <is>
          <t>Chưa chạy</t>
        </is>
      </c>
      <c r="K46" s="12" t="inlineStr"/>
      <c r="L46" s="12" t="inlineStr"/>
    </row>
    <row r="47" ht="54" customHeight="1">
      <c r="A47" s="11" t="inlineStr">
        <is>
          <t>TC-SV-013</t>
        </is>
      </c>
      <c r="B47" s="11" t="inlineStr">
        <is>
          <t>SV-013</t>
        </is>
      </c>
      <c r="C47" s="11" t="inlineStr">
        <is>
          <t>Party và recipient authorization</t>
        </is>
      </c>
      <c r="D47" s="11" t="inlineStr">
        <is>
          <t>Invite/chat/report</t>
        </is>
      </c>
      <c r="E47" s="11" t="inlineStr">
        <is>
          <t>Membership unique; leader state; invite TTL; text sanitize/escape; channel kiểm tra membership; persist report không lưu token/password. | Thử negative case: Kick/leave làm mất quyền party ngay; message rate limited</t>
        </is>
      </c>
      <c r="F47" s="11" t="inlineStr">
        <is>
          <t>User ngoài party không nghe/đọc được party channel; invite replay vô hiệu.</t>
        </is>
      </c>
      <c r="G47" s="11" t="inlineStr">
        <is>
          <t>P1</t>
        </is>
      </c>
      <c r="H47" s="11" t="inlineStr">
        <is>
          <t>G5</t>
        </is>
      </c>
      <c r="I47" s="11" t="inlineStr">
        <is>
          <t>GD + owner kỹ thuật</t>
        </is>
      </c>
      <c r="J47" s="11" t="inlineStr">
        <is>
          <t>Chưa chạy</t>
        </is>
      </c>
      <c r="K47" s="11" t="inlineStr"/>
      <c r="L47" s="11" t="inlineStr"/>
    </row>
    <row r="48" ht="54" customHeight="1">
      <c r="A48" s="12" t="inlineStr">
        <is>
          <t>TC-SV-014</t>
        </is>
      </c>
      <c r="B48" s="12" t="inlineStr">
        <is>
          <t>SV-014</t>
        </is>
      </c>
      <c r="C48" s="12" t="inlineStr">
        <is>
          <t>Dungeon và duel state machine</t>
        </is>
      </c>
      <c r="D48" s="12" t="inlineStr">
        <is>
          <t>Entry/ready/timers/combat</t>
        </is>
      </c>
      <c r="E48" s="12" t="inlineStr">
        <is>
          <t>Dungeon: created→ready→running→won/failed→closed; arena tương tự; fixed roster; key(runId, charId, rewardType) unique. | Thử negative case: Boss reward pending được retry; đấu trường disconnect30s thua; không rank rewards</t>
        </is>
      </c>
      <c r="F48" s="12" t="inlineStr">
        <is>
          <t>Repeated completion không cấp thêm loot; orphan rooms cleanup≤60s.</t>
        </is>
      </c>
      <c r="G48" s="12" t="inlineStr">
        <is>
          <t>P1</t>
        </is>
      </c>
      <c r="H48" s="12" t="inlineStr">
        <is>
          <t>G4</t>
        </is>
      </c>
      <c r="I48" s="12" t="inlineStr">
        <is>
          <t>GD + owner kỹ thuật</t>
        </is>
      </c>
      <c r="J48" s="12" t="inlineStr">
        <is>
          <t>Chưa chạy</t>
        </is>
      </c>
      <c r="K48" s="12" t="inlineStr"/>
      <c r="L48" s="12" t="inlineStr"/>
    </row>
    <row r="49" ht="54" customHeight="1">
      <c r="A49" s="11" t="inlineStr">
        <is>
          <t>TC-SV-015</t>
        </is>
      </c>
      <c r="B49" s="11" t="inlineStr">
        <is>
          <t>SV-015</t>
        </is>
      </c>
      <c r="C49" s="11" t="inlineStr">
        <is>
          <t>Data-driven và config version</t>
        </is>
      </c>
      <c r="D49" s="11" t="inlineStr">
        <is>
          <t>Validated catalog/version</t>
        </is>
      </c>
      <c r="E49" s="11" t="inlineStr">
        <is>
          <t>Gu/item/mob/map/quest/recipe bằng JSON/CSV có schema; build kiểm tra foreign keys; publish immutable version; room đang chạy giữ version cũ tới restart. | Thử negative case: Recipe input/output thiếu: fail build; không hotpatch giữa craft</t>
        </is>
      </c>
      <c r="F49" s="11" t="inlineStr">
        <is>
          <t>1 cấu hình lỗi bị chặn; rollback về version trước khôi phục đúng catalog.</t>
        </is>
      </c>
      <c r="G49" s="11" t="inlineStr">
        <is>
          <t>P1</t>
        </is>
      </c>
      <c r="H49" s="11" t="inlineStr">
        <is>
          <t>G5</t>
        </is>
      </c>
      <c r="I49" s="11" t="inlineStr">
        <is>
          <t>GD + owner kỹ thuật</t>
        </is>
      </c>
      <c r="J49" s="11" t="inlineStr">
        <is>
          <t>Chưa chạy</t>
        </is>
      </c>
      <c r="K49" s="11" t="inlineStr"/>
      <c r="L49" s="11" t="inlineStr"/>
    </row>
    <row r="50" ht="54" customHeight="1">
      <c r="A50" s="12" t="inlineStr">
        <is>
          <t>TC-SV-016</t>
        </is>
      </c>
      <c r="B50" s="12" t="inlineStr">
        <is>
          <t>SV-016</t>
        </is>
      </c>
      <c r="C50" s="12" t="inlineStr">
        <is>
          <t>Metrics, log và economy events</t>
        </is>
      </c>
      <c r="D50" s="12" t="inlineStr">
        <is>
          <t>Server events/counters</t>
        </is>
      </c>
      <c r="E50" s="12" t="inlineStr">
        <is>
          <t>Theo dõi CCU/map, tick p95, intent rejection, DB latency, duplicate request, source/sink, funnel tutorial; correlationID xuyên command; không log secret. | Thử negative case: Log endpoint không public; không dùng analytics làm nguồn inventory</t>
        </is>
      </c>
      <c r="F50" s="12" t="inlineStr">
        <is>
          <t>Tra một craft receipt thấy request/ledger/config; có alert DB unavailable/tick trễ.</t>
        </is>
      </c>
      <c r="G50" s="12" t="inlineStr">
        <is>
          <t>P1</t>
        </is>
      </c>
      <c r="H50" s="12" t="inlineStr">
        <is>
          <t>G5</t>
        </is>
      </c>
      <c r="I50" s="12" t="inlineStr">
        <is>
          <t>GD + owner kỹ thuật</t>
        </is>
      </c>
      <c r="J50" s="12" t="inlineStr">
        <is>
          <t>Chưa chạy</t>
        </is>
      </c>
      <c r="K50" s="12" t="inlineStr"/>
      <c r="L50" s="12" t="inlineStr"/>
    </row>
    <row r="51" ht="54" customHeight="1">
      <c r="A51" s="11" t="inlineStr">
        <is>
          <t>TC-SV-017</t>
        </is>
      </c>
      <c r="B51" s="11" t="inlineStr">
        <is>
          <t>SV-017</t>
        </is>
      </c>
      <c r="C51" s="11" t="inlineStr">
        <is>
          <t>Backup, restore và rollback</t>
        </is>
      </c>
      <c r="D51" s="11" t="inlineStr">
        <is>
          <t>DB backup/tag/runbook</t>
        </is>
      </c>
      <c r="E51" s="11" t="inlineStr">
        <is>
          <t>Private staging/local trước; daily DB snapshot + trước release; giữ 7 daily/4 weekly; restore diễn tập; schema migration tương thích rollback. | Thử negative case: Không restore đè môi trường live khi chưa cô lập; go/no-go khi NFR fail</t>
        </is>
      </c>
      <c r="F51" s="11" t="inlineStr">
        <is>
          <t>Restore vào DB rỗng đạt RTO≤2h/RPO≤24h; restart crash khác disaster restore.</t>
        </is>
      </c>
      <c r="G51" s="11" t="inlineStr">
        <is>
          <t>P1</t>
        </is>
      </c>
      <c r="H51" s="11" t="inlineStr">
        <is>
          <t>G5</t>
        </is>
      </c>
      <c r="I51" s="11" t="inlineStr">
        <is>
          <t>GD + owner kỹ thuật</t>
        </is>
      </c>
      <c r="J51" s="11" t="inlineStr">
        <is>
          <t>Chưa chạy</t>
        </is>
      </c>
      <c r="K51" s="11" t="inlineStr"/>
      <c r="L51" s="11" t="inlineStr"/>
    </row>
    <row r="52" ht="54" customHeight="1">
      <c r="A52" s="12" t="inlineStr">
        <is>
          <t>TC-SV-018</t>
        </is>
      </c>
      <c r="B52" s="12" t="inlineStr">
        <is>
          <t>SV-018</t>
        </is>
      </c>
      <c r="C52" s="12" t="inlineStr">
        <is>
          <t>Schema, quota và session fencing</t>
        </is>
      </c>
      <c r="D52" s="12" t="inlineStr">
        <is>
          <t>Token/payload/sequence/lease</t>
        </is>
      </c>
      <c r="E52" s="12" t="inlineStr">
        <is>
          <t>Mọi message schema allowlist, max payload8KB; intents ≤20/s burst 40; cast theo cooldown; thiếu auth reject; lease token chống 2 writer. | Thử negative case: Stale lease/oversize/message lạ: reject, audit, close nếu spam</t>
        </is>
      </c>
      <c r="F52" s="12" t="inlineStr">
        <is>
          <t>Fuzz malformed không crash; stale room không ghi DB; người chơi không vào GM API.</t>
        </is>
      </c>
      <c r="G52" s="12" t="inlineStr">
        <is>
          <t>P1</t>
        </is>
      </c>
      <c r="H52" s="12" t="inlineStr">
        <is>
          <t>G5</t>
        </is>
      </c>
      <c r="I52" s="12" t="inlineStr">
        <is>
          <t>GD + owner kỹ thuật</t>
        </is>
      </c>
      <c r="J52" s="12" t="inlineStr">
        <is>
          <t>Chưa chạy</t>
        </is>
      </c>
      <c r="K52" s="12" t="inlineStr"/>
      <c r="L52" s="12" t="inlineStr"/>
    </row>
    <row r="53" ht="39" customHeight="1">
      <c r="A53" s="11" t="inlineStr">
        <is>
          <t>TC-AD-001</t>
        </is>
      </c>
      <c r="B53" s="11" t="inlineStr">
        <is>
          <t>AD-001</t>
        </is>
      </c>
      <c r="C53" s="11" t="inlineStr">
        <is>
          <t>Đăng nhập GM và RBAC</t>
        </is>
      </c>
      <c r="D53" s="11" t="inlineStr">
        <is>
          <t>Admin credentials/role</t>
        </is>
      </c>
      <c r="E53" s="11" t="inlineStr">
        <is>
          <t>Role GM_READ, GM_MOD, GM_OWNER; chỉ OWNER cấp role; kiểm tra server từng endpoint; tài khoản game không mặc định vào admin. | Thử negative case: 403 dù client tự sửa role; revoke có hiệu lực khi gọi tiếp</t>
        </is>
      </c>
      <c r="F53" s="11" t="inlineStr">
        <is>
          <t>Player và GM_READ không ban/grant; mọi thao tác đặc quyền có audit.</t>
        </is>
      </c>
      <c r="G53" s="11" t="inlineStr">
        <is>
          <t>P1</t>
        </is>
      </c>
      <c r="H53" s="11" t="inlineStr">
        <is>
          <t>G5</t>
        </is>
      </c>
      <c r="I53" s="11" t="inlineStr">
        <is>
          <t>GD + owner kỹ thuật</t>
        </is>
      </c>
      <c r="J53" s="11" t="inlineStr">
        <is>
          <t>Chưa chạy</t>
        </is>
      </c>
      <c r="K53" s="11" t="inlineStr"/>
      <c r="L53" s="11" t="inlineStr"/>
    </row>
    <row r="54" ht="39" customHeight="1">
      <c r="A54" s="12" t="inlineStr">
        <is>
          <t>TC-AD-002</t>
        </is>
      </c>
      <c r="B54" s="12" t="inlineStr">
        <is>
          <t>AD-002</t>
        </is>
      </c>
      <c r="C54" s="12" t="inlineStr">
        <is>
          <t>Tra cứu nhân vật và receipt</t>
        </is>
      </c>
      <c r="D54" s="12" t="inlineStr">
        <is>
          <t>Search/filter/page</t>
        </is>
      </c>
      <c r="E54" s="12" t="inlineStr">
        <is>
          <t>Tìm theo characterId/name; xem level/rank/bag/loadout/ledger/quest/session; read-only; che thông tin nhạy cảm. | Thử negative case: Không tìm thấy: empty; không hiển thị password/token</t>
        </is>
      </c>
      <c r="F54" s="12" t="inlineStr">
        <is>
          <t>GM_READ xem được lịch sử craft bằng requestId mà không sửa dữ liệu.</t>
        </is>
      </c>
      <c r="G54" s="12" t="inlineStr">
        <is>
          <t>P1</t>
        </is>
      </c>
      <c r="H54" s="12" t="inlineStr">
        <is>
          <t>G5</t>
        </is>
      </c>
      <c r="I54" s="12" t="inlineStr">
        <is>
          <t>GD + owner kỹ thuật</t>
        </is>
      </c>
      <c r="J54" s="12" t="inlineStr">
        <is>
          <t>Chưa chạy</t>
        </is>
      </c>
      <c r="K54" s="12" t="inlineStr"/>
      <c r="L54" s="12" t="inlineStr"/>
    </row>
    <row r="55" ht="39" customHeight="1">
      <c r="A55" s="11" t="inlineStr">
        <is>
          <t>TC-AD-003</t>
        </is>
      </c>
      <c r="B55" s="11" t="inlineStr">
        <is>
          <t>AD-003</t>
        </is>
      </c>
      <c r="C55" s="11" t="inlineStr">
        <is>
          <t>Mute/ban và xử lý report</t>
        </is>
      </c>
      <c r="D55" s="11" t="inlineStr">
        <is>
          <t>Target, action, reason, expiry</t>
        </is>
      </c>
      <c r="E55" s="11" t="inlineStr">
        <is>
          <t>GM_MOD mute/ban có lý do, thời hạn; kick session active; report kèm messageID; unban có audit. | Thử negative case: Reason rỗng/expiry sai: reject</t>
        </is>
      </c>
      <c r="F55" s="11" t="inlineStr">
        <is>
          <t>Banned không join lại; mute không gửi chat; hết hạn tự gỡ.</t>
        </is>
      </c>
      <c r="G55" s="11" t="inlineStr">
        <is>
          <t>P1</t>
        </is>
      </c>
      <c r="H55" s="11" t="inlineStr">
        <is>
          <t>G5</t>
        </is>
      </c>
      <c r="I55" s="11" t="inlineStr">
        <is>
          <t>GD + owner kỹ thuật</t>
        </is>
      </c>
      <c r="J55" s="11" t="inlineStr">
        <is>
          <t>Chưa chạy</t>
        </is>
      </c>
      <c r="K55" s="11" t="inlineStr"/>
      <c r="L55" s="11" t="inlineStr"/>
    </row>
    <row r="56" ht="39" customHeight="1">
      <c r="A56" s="12" t="inlineStr">
        <is>
          <t>TC-AD-004</t>
        </is>
      </c>
      <c r="B56" s="12" t="inlineStr">
        <is>
          <t>AD-004</t>
        </is>
      </c>
      <c r="C56" s="12" t="inlineStr">
        <is>
          <t>Cấp vật phẩm có kiểm soát</t>
        </is>
      </c>
      <c r="D56" s="12" t="inlineStr">
        <is>
          <t>Character, item, qty, reason, UUID</t>
        </is>
      </c>
      <c r="E56" s="12" t="inlineStr">
        <is>
          <t>OWNER grant theo catalog/qty; lý do bắt buộc; preview; unique requestId; server gửi inbox khi bag đầy; không edit DB trực tiếp. | Thử negative case: GM_MOD bị 403; ID lặp không cấp thêm</t>
        </is>
      </c>
      <c r="F56" s="12" t="inlineStr">
        <is>
          <t>Grant bị lặp chỉ 1 receipt; tra được người làm/lý do/giá trị trước-sau.</t>
        </is>
      </c>
      <c r="G56" s="12" t="inlineStr">
        <is>
          <t>P1</t>
        </is>
      </c>
      <c r="H56" s="12" t="inlineStr">
        <is>
          <t>G5</t>
        </is>
      </c>
      <c r="I56" s="12" t="inlineStr">
        <is>
          <t>GD + owner kỹ thuật</t>
        </is>
      </c>
      <c r="J56" s="12" t="inlineStr">
        <is>
          <t>Chưa chạy</t>
        </is>
      </c>
      <c r="K56" s="12" t="inlineStr"/>
      <c r="L56" s="12" t="inlineStr"/>
    </row>
    <row r="57" ht="39" customHeight="1">
      <c r="A57" s="11" t="inlineStr">
        <is>
          <t>TC-AD-005</t>
        </is>
      </c>
      <c r="B57" s="11" t="inlineStr">
        <is>
          <t>AD-005</t>
        </is>
      </c>
      <c r="C57" s="11" t="inlineStr">
        <is>
          <t>Publish/rollback config qua pipeline</t>
        </is>
      </c>
      <c r="D57" s="11" t="inlineStr">
        <is>
          <t>Bundle version/change reason</t>
        </is>
      </c>
      <c r="E57" s="11" t="inlineStr">
        <is>
          <t>OWNER chọn bundle đã validate; staging smoke; alpha restart có thông báo; lưu version trước/sau và actor. | Thử negative case: Bundle lỗi chưa validate không publish</t>
        </is>
      </c>
      <c r="F57" s="11" t="inlineStr">
        <is>
          <t>1 invalid foreign key chặn publish; rollback dùng bundle bất biến.</t>
        </is>
      </c>
      <c r="G57" s="11" t="inlineStr">
        <is>
          <t>P1</t>
        </is>
      </c>
      <c r="H57" s="11" t="inlineStr">
        <is>
          <t>G5</t>
        </is>
      </c>
      <c r="I57" s="11" t="inlineStr">
        <is>
          <t>GD + owner kỹ thuật</t>
        </is>
      </c>
      <c r="J57" s="11" t="inlineStr">
        <is>
          <t>Chưa chạy</t>
        </is>
      </c>
      <c r="K57" s="11" t="inlineStr"/>
      <c r="L57" s="11" t="inlineStr"/>
    </row>
    <row r="58" ht="39" customHeight="1">
      <c r="A58" s="12" t="inlineStr">
        <is>
          <t>TC-AD-006</t>
        </is>
      </c>
      <c r="B58" s="12" t="inlineStr">
        <is>
          <t>AD-006</t>
        </is>
      </c>
      <c r="C58" s="12" t="inlineStr">
        <is>
          <t>Dashboard vận hành tối thiểu</t>
        </is>
      </c>
      <c r="D58" s="12" t="inlineStr">
        <is>
          <t>Time range/server stats</t>
        </is>
      </c>
      <c r="E58" s="12" t="inlineStr">
        <is>
          <t>Trang read-only số CCU/map, errors, tick, DBhealth; export report alpha; dùng dashboard sẵn có hoặc trang đơn giản. | Thử negative case: Không có metrics hiện No data; không hiện 0 giả</t>
        </is>
      </c>
      <c r="F58" s="12" t="inlineStr">
        <is>
          <t>DB mất kết nối hiện cảnh báo trong60s; số CCU khớp active lease.</t>
        </is>
      </c>
      <c r="G58" s="12" t="inlineStr">
        <is>
          <t>P1</t>
        </is>
      </c>
      <c r="H58" s="12" t="inlineStr">
        <is>
          <t>G5</t>
        </is>
      </c>
      <c r="I58" s="12" t="inlineStr">
        <is>
          <t>GD + owner kỹ thuật</t>
        </is>
      </c>
      <c r="J58" s="12" t="inlineStr">
        <is>
          <t>Chưa chạy</t>
        </is>
      </c>
      <c r="K58" s="12" t="inlineStr"/>
      <c r="L58" s="12" t="inlineStr"/>
    </row>
    <row r="59" ht="39" customHeight="1">
      <c r="A59" s="11" t="inlineStr">
        <is>
          <t>TC-AD-007</t>
        </is>
      </c>
      <c r="B59" s="11" t="inlineStr">
        <is>
          <t>AD-007</t>
        </is>
      </c>
      <c r="C59" s="11" t="inlineStr">
        <is>
          <t>Audit bất biến qua API</t>
        </is>
      </c>
      <c r="D59" s="11" t="inlineStr">
        <is>
          <t>Privileged commands</t>
        </is>
      </c>
      <c r="E59" s="11" t="inlineStr">
        <is>
          <t>Actor/action/target/reason/requestId/timestamp/before-after; quyền read phân vai; không có API xóa hoặc sửa audit; chỉ mask secret. | Thử negative case: Audit ghi lỗi: đặc quyền thất bại cùng transaction</t>
        </is>
      </c>
      <c r="F59" s="11" t="inlineStr">
        <is>
          <t>Ban/grant/role/config đều có log; GM không xóa được qua API.</t>
        </is>
      </c>
      <c r="G59" s="11" t="inlineStr">
        <is>
          <t>P1</t>
        </is>
      </c>
      <c r="H59" s="11" t="inlineStr">
        <is>
          <t>G5</t>
        </is>
      </c>
      <c r="I59" s="11" t="inlineStr">
        <is>
          <t>GD + owner kỹ thuật</t>
        </is>
      </c>
      <c r="J59" s="11" t="inlineStr">
        <is>
          <t>Chưa chạy</t>
        </is>
      </c>
      <c r="K59" s="11" t="inlineStr"/>
      <c r="L59" s="11" t="inlineStr"/>
    </row>
    <row r="60" ht="39" customHeight="1">
      <c r="A60" s="12" t="inlineStr">
        <is>
          <t>TC-NFR-01</t>
        </is>
      </c>
      <c r="B60" s="12" t="inlineStr">
        <is>
          <t>NFR-01</t>
        </is>
      </c>
      <c r="C60" s="12" t="inlineStr">
        <is>
          <t>Client performance</t>
        </is>
      </c>
      <c r="D60" s="12" t="inlineStr">
        <is>
          <t>Godot PC Windows foreground; scene tham chiếu 20 player+50 mob+VFX vừa;1366×768 low; máy i5-8250U/8GB/UHD620 hoặc máy đội chốt S01</t>
        </is>
      </c>
      <c r="E60" s="12" t="inlineStr">
        <is>
          <t>Perf capture, engine/OS/hardware/build ID</t>
        </is>
      </c>
      <c r="F60" s="12" t="inlineStr">
        <is>
          <t>Sau warmup2 phút đo 5 phút: FPS trung vị≥50; frame time p95≤33ms; máy thực tế phải ghi rõ</t>
        </is>
      </c>
      <c r="G60" s="12" t="inlineStr">
        <is>
          <t>P1</t>
        </is>
      </c>
      <c r="H60" s="12" t="inlineStr">
        <is>
          <t>G5</t>
        </is>
      </c>
      <c r="I60" s="12" t="inlineStr">
        <is>
          <t>GD + CL/SV</t>
        </is>
      </c>
      <c r="J60" s="12" t="inlineStr">
        <is>
          <t>Chưa chạy</t>
        </is>
      </c>
      <c r="K60" s="12" t="inlineStr"/>
      <c r="L60" s="12" t="inlineStr"/>
    </row>
    <row r="61" ht="39" customHeight="1">
      <c r="A61" s="11" t="inlineStr">
        <is>
          <t>TC-NFR-02</t>
        </is>
      </c>
      <c r="B61" s="11" t="inlineStr">
        <is>
          <t>NFR-02</t>
        </is>
      </c>
      <c r="C61" s="11" t="inlineStr">
        <is>
          <t>Realtime latency</t>
        </is>
      </c>
      <c r="D61" s="11" t="inlineStr">
        <is>
          <t>Máy test cùng khu vực; RTT giả lập100ms, jitter20ms, packet loss 1%; input hợp lệ không rate-limit</t>
        </is>
      </c>
      <c r="E61" s="11" t="inlineStr">
        <is>
          <t>10.000 intent; latency distribution</t>
        </is>
      </c>
      <c r="F61" s="11" t="inlineStr">
        <is>
          <t>Command ACK p95≤250ms; correction không xuyên tường; báo riêng RTT và xử lý server</t>
        </is>
      </c>
      <c r="G61" s="11" t="inlineStr">
        <is>
          <t>P1</t>
        </is>
      </c>
      <c r="H61" s="11" t="inlineStr">
        <is>
          <t>G5</t>
        </is>
      </c>
      <c r="I61" s="11" t="inlineStr">
        <is>
          <t>GD + CL/SV</t>
        </is>
      </c>
      <c r="J61" s="11" t="inlineStr">
        <is>
          <t>Chưa chạy</t>
        </is>
      </c>
      <c r="K61" s="11" t="inlineStr"/>
      <c r="L61" s="11" t="inlineStr"/>
    </row>
    <row r="62" ht="39" customHeight="1">
      <c r="A62" s="12" t="inlineStr">
        <is>
          <t>TC-NFR-03</t>
        </is>
      </c>
      <c r="B62" s="12" t="inlineStr">
        <is>
          <t>NFR-03</t>
        </is>
      </c>
      <c r="C62" s="12" t="inlineStr">
        <is>
          <t>Capacity alpha</t>
        </is>
      </c>
      <c r="D62" s="12" t="inlineStr">
        <is>
          <t>50CCU tổng 1 shard;≤20 player/map room;50 mob hoạt động/map; instance roster≤3; 50bots2 giờ có cast/loot/craft</t>
        </is>
      </c>
      <c r="E62" s="12" t="inlineStr">
        <is>
          <t>Ghi CPU/RAM/server config; đây là mục tiêu kiểm thử, chưa là benchmark</t>
        </is>
      </c>
      <c r="F62" s="12" t="inlineStr">
        <is>
          <t>Simulation20Hz: tick duration p95≤40ms; không disconnect do quá tải; memory không tăng không giới hạn; p95DBcommand≤200ms</t>
        </is>
      </c>
      <c r="G62" s="12" t="inlineStr">
        <is>
          <t>P1</t>
        </is>
      </c>
      <c r="H62" s="12" t="inlineStr">
        <is>
          <t>G5</t>
        </is>
      </c>
      <c r="I62" s="12" t="inlineStr">
        <is>
          <t>GD + CL/SV</t>
        </is>
      </c>
      <c r="J62" s="12" t="inlineStr">
        <is>
          <t>Chưa chạy</t>
        </is>
      </c>
      <c r="K62" s="12" t="inlineStr"/>
      <c r="L62" s="12" t="inlineStr"/>
    </row>
    <row r="63" ht="39" customHeight="1">
      <c r="A63" s="11" t="inlineStr">
        <is>
          <t>TC-NFR-04</t>
        </is>
      </c>
      <c r="B63" s="11" t="inlineStr">
        <is>
          <t>NFR-04</t>
        </is>
      </c>
      <c r="C63" s="11" t="inlineStr">
        <is>
          <t>Tài sản bền vững</t>
        </is>
      </c>
      <c r="D63" s="11" t="inlineStr">
        <is>
          <t>Inventory/tiền/quest/reward/craft đã ACK commit; position/HP/hunger checkpoint30s</t>
        </is>
      </c>
      <c r="E63" s="11" t="inlineStr">
        <is>
          <t>Fault injection trước/sau commit và trước/sau ACK</t>
        </is>
      </c>
      <c r="F63" s="11" t="inlineStr">
        <is>
          <t>Crash process: mất 0 giao dịch đã ACK; vị trí có thể lùi≤30s;20 retry cùng ID đúng 1 hiệu lực</t>
        </is>
      </c>
      <c r="G63" s="11" t="inlineStr">
        <is>
          <t>P1</t>
        </is>
      </c>
      <c r="H63" s="11" t="inlineStr">
        <is>
          <t>G5</t>
        </is>
      </c>
      <c r="I63" s="11" t="inlineStr">
        <is>
          <t>GD + CL/SV</t>
        </is>
      </c>
      <c r="J63" s="11" t="inlineStr">
        <is>
          <t>Chưa chạy</t>
        </is>
      </c>
      <c r="K63" s="11" t="inlineStr"/>
      <c r="L63" s="11" t="inlineStr"/>
    </row>
    <row r="64" ht="39" customHeight="1">
      <c r="A64" s="12" t="inlineStr">
        <is>
          <t>TC-NFR-05</t>
        </is>
      </c>
      <c r="B64" s="12" t="inlineStr">
        <is>
          <t>NFR-05</t>
        </is>
      </c>
      <c r="C64" s="12" t="inlineStr">
        <is>
          <t>Access/security</t>
        </is>
      </c>
      <c r="D64" s="12" t="inlineStr">
        <is>
          <t>Auth/game/admin API; token hết hạn; account khác; sửa payload; spam; XSS chat</t>
        </is>
      </c>
      <c r="E64" s="12" t="inlineStr">
        <is>
          <t>Danh sách test và evidence; không gọi là chứng nhận bảo mật</t>
        </is>
      </c>
      <c r="F64" s="12" t="inlineStr">
        <is>
          <t>100% negative matrix bắt buộc bị chặn; không secret trong log; không client-authoritative reward; 0 lỗi P0/P1 auth/dupe</t>
        </is>
      </c>
      <c r="G64" s="12" t="inlineStr">
        <is>
          <t>P1</t>
        </is>
      </c>
      <c r="H64" s="12" t="inlineStr">
        <is>
          <t>G5</t>
        </is>
      </c>
      <c r="I64" s="12" t="inlineStr">
        <is>
          <t>GD + CL/SV</t>
        </is>
      </c>
      <c r="J64" s="12" t="inlineStr">
        <is>
          <t>Chưa chạy</t>
        </is>
      </c>
      <c r="K64" s="12" t="inlineStr"/>
      <c r="L64" s="12" t="inlineStr"/>
    </row>
    <row r="65" ht="39" customHeight="1">
      <c r="A65" s="11" t="inlineStr">
        <is>
          <t>TC-NFR-06</t>
        </is>
      </c>
      <c r="B65" s="11" t="inlineStr">
        <is>
          <t>NFR-06</t>
        </is>
      </c>
      <c r="C65" s="11" t="inlineStr">
        <is>
          <t>Backup/disaster</t>
        </is>
      </c>
      <c r="D65" s="11" t="inlineStr">
        <is>
          <t>Snapshot hằng ngày + trước release; giữ 7 daily/4 weekly; restore vào môi trường cô lập</t>
        </is>
      </c>
      <c r="E65" s="11" t="inlineStr">
        <is>
          <t>Log thời điểm snapshot, mất dữ liệu giả lập và hoàn tất restore</t>
        </is>
      </c>
      <c r="F65" s="11" t="inlineStr">
        <is>
          <t>RPO≤24h; RTO≤2 giờ trong diễn tập; item/ledger đối chiếu khớp backup; khác crash checkpoint</t>
        </is>
      </c>
      <c r="G65" s="11" t="inlineStr">
        <is>
          <t>P1</t>
        </is>
      </c>
      <c r="H65" s="11" t="inlineStr">
        <is>
          <t>G5</t>
        </is>
      </c>
      <c r="I65" s="11" t="inlineStr">
        <is>
          <t>GD + CL/SV</t>
        </is>
      </c>
      <c r="J65" s="11" t="inlineStr">
        <is>
          <t>Chưa chạy</t>
        </is>
      </c>
      <c r="K65" s="11" t="inlineStr"/>
      <c r="L65" s="11" t="inlineStr"/>
    </row>
    <row r="66" ht="39" customHeight="1">
      <c r="A66" s="12" t="inlineStr">
        <is>
          <t>TC-NFR-07</t>
        </is>
      </c>
      <c r="B66" s="12" t="inlineStr">
        <is>
          <t>NFR-07</t>
        </is>
      </c>
      <c r="C66" s="12" t="inlineStr">
        <is>
          <t>Compatibility</t>
        </is>
      </c>
      <c r="D66" s="12" t="inlineStr">
        <is>
          <t>Godot native Windows 10/11;1366×768/1920×1080; keyboard+mouse; Web export kiểm chứng riêng</t>
        </is>
      </c>
      <c r="E66" s="12" t="inlineStr">
        <is>
          <t>OS/engine matrix; Web là spike, chưa cam kết mobile/nativeMac/Linux</t>
        </is>
      </c>
      <c r="F66" s="12" t="inlineStr">
        <is>
          <t>Login→quest→craft→dungeon chạy trên Windows 10/11; UI không chặn nútchính; version ghi trong báo cáo</t>
        </is>
      </c>
      <c r="G66" s="12" t="inlineStr">
        <is>
          <t>P1</t>
        </is>
      </c>
      <c r="H66" s="12" t="inlineStr">
        <is>
          <t>G5</t>
        </is>
      </c>
      <c r="I66" s="12" t="inlineStr">
        <is>
          <t>GD + CL/SV</t>
        </is>
      </c>
      <c r="J66" s="12" t="inlineStr">
        <is>
          <t>Chưa chạy</t>
        </is>
      </c>
      <c r="K66" s="12" t="inlineStr"/>
      <c r="L66" s="12" t="inlineStr"/>
    </row>
    <row r="67" ht="54" customHeight="1">
      <c r="A67" s="11" t="inlineStr">
        <is>
          <t>TC-NFR-08</t>
        </is>
      </c>
      <c r="B67" s="11" t="inlineStr">
        <is>
          <t>NFR-08</t>
        </is>
      </c>
      <c r="C67" s="11" t="inlineStr">
        <is>
          <t>Asset budget</t>
        </is>
      </c>
      <c r="D67" s="11" t="inlineStr">
        <is>
          <t>PC cold start; content shell+town không tính engine; Web spike qua mạng 20 Mbps; cache cold; không tính thời gian nhập password; lazyload farm/dungeon</t>
        </is>
      </c>
      <c r="E67" s="11" t="inlineStr">
        <is>
          <t>Network waterfall; dung lượng bundle; ngân sách cần kiểm chứng S01</t>
        </is>
      </c>
      <c r="F67" s="11" t="inlineStr">
        <is>
          <t>Initial compressed payload≤25MB; interactive p95≤15 giây trên 10 lượt; asset progress/failure retry có UI</t>
        </is>
      </c>
      <c r="G67" s="11" t="inlineStr">
        <is>
          <t>P1</t>
        </is>
      </c>
      <c r="H67" s="11" t="inlineStr">
        <is>
          <t>G5</t>
        </is>
      </c>
      <c r="I67" s="11" t="inlineStr">
        <is>
          <t>GD + CL/SV</t>
        </is>
      </c>
      <c r="J67" s="11" t="inlineStr">
        <is>
          <t>Chưa chạy</t>
        </is>
      </c>
      <c r="K67" s="11" t="inlineStr"/>
      <c r="L67" s="11" t="inlineStr"/>
    </row>
    <row r="68" ht="39" customHeight="1">
      <c r="A68" s="12" t="inlineStr">
        <is>
          <t>TC-NFR-09</t>
        </is>
      </c>
      <c r="B68" s="12" t="inlineStr">
        <is>
          <t>NFR-09</t>
        </is>
      </c>
      <c r="C68" s="12" t="inlineStr">
        <is>
          <t>Maintainability</t>
        </is>
      </c>
      <c r="D68" s="12" t="inlineStr">
        <is>
          <t>Client/server/shared-content tách rõ; server không import UI; config có schema và version</t>
        </is>
      </c>
      <c r="E68" s="12" t="inlineStr">
        <is>
          <t>Clean-machine setup run; dependency graph review</t>
        </is>
      </c>
      <c r="F68" s="12" t="inlineStr">
        <is>
          <t>CI chặn typecheck/build/schema/transaction tests fail; dev mới chạy local theoREADME≤60 phút</t>
        </is>
      </c>
      <c r="G68" s="12" t="inlineStr">
        <is>
          <t>P1</t>
        </is>
      </c>
      <c r="H68" s="12" t="inlineStr">
        <is>
          <t>G5</t>
        </is>
      </c>
      <c r="I68" s="12" t="inlineStr">
        <is>
          <t>GD + CL/SV</t>
        </is>
      </c>
      <c r="J68" s="12" t="inlineStr">
        <is>
          <t>Chưa chạy</t>
        </is>
      </c>
      <c r="K68" s="12" t="inlineStr"/>
      <c r="L68" s="12" t="inlineStr"/>
    </row>
    <row r="69" ht="39" customHeight="1">
      <c r="A69" s="11" t="inlineStr">
        <is>
          <t>TC-NFR-10</t>
        </is>
      </c>
      <c r="B69" s="11" t="inlineStr">
        <is>
          <t>NFR-10</t>
        </is>
      </c>
      <c r="C69" s="11" t="inlineStr">
        <is>
          <t>Observability</t>
        </is>
      </c>
      <c r="D69" s="11" t="inlineStr">
        <is>
          <t>Auth/room/cast/craft/inventory/admin; mỗi command có correlationID</t>
        </is>
      </c>
      <c r="E69" s="11" t="inlineStr">
        <is>
          <t>Dashboard capture; trace một happy và một failed command</t>
        </is>
      </c>
      <c r="F69" s="11" t="inlineStr">
        <is>
          <t>Tra1 receipt tìm đủ configVersion/outcome/ledger; alert DBunavailable hoặc tick overrun trong 60 giây; log không secret</t>
        </is>
      </c>
      <c r="G69" s="11" t="inlineStr">
        <is>
          <t>P1</t>
        </is>
      </c>
      <c r="H69" s="11" t="inlineStr">
        <is>
          <t>G5</t>
        </is>
      </c>
      <c r="I69" s="11" t="inlineStr">
        <is>
          <t>GD + CL/SV</t>
        </is>
      </c>
      <c r="J69" s="11" t="inlineStr">
        <is>
          <t>Chưa chạy</t>
        </is>
      </c>
      <c r="K69" s="11" t="inlineStr"/>
      <c r="L69" s="11" t="inlineStr"/>
    </row>
    <row r="70" ht="39" customHeight="1">
      <c r="A70" s="12" t="inlineStr">
        <is>
          <t>TC-NFR-11</t>
        </is>
      </c>
      <c r="B70" s="12" t="inlineStr">
        <is>
          <t>NFR-11</t>
        </is>
      </c>
      <c r="C70" s="12" t="inlineStr">
        <is>
          <t>UX và readability</t>
        </is>
      </c>
      <c r="D70" s="12" t="inlineStr">
        <is>
          <t>10 tester chưa được hướng dẫn; low graphics và mute; skill errors và telegraphs</t>
        </is>
      </c>
      <c r="E70" s="12" t="inlineStr">
        <is>
          <t>Quan sát task completion; note lý do thất bại</t>
        </is>
      </c>
      <c r="F70" s="12" t="inlineStr">
        <is>
          <t>≥8/10 tự di chuyển/chọn/đánh trong 3 phút;5/5telegraph kiểm tra có shape/icon ngoài màu; scale chữ≥14px ở 1366×768</t>
        </is>
      </c>
      <c r="G70" s="12" t="inlineStr">
        <is>
          <t>P1</t>
        </is>
      </c>
      <c r="H70" s="12" t="inlineStr">
        <is>
          <t>G5</t>
        </is>
      </c>
      <c r="I70" s="12" t="inlineStr">
        <is>
          <t>GD + CL/SV</t>
        </is>
      </c>
      <c r="J70" s="12" t="inlineStr">
        <is>
          <t>Chưa chạy</t>
        </is>
      </c>
      <c r="K70" s="12" t="inlineStr"/>
      <c r="L70" s="12" t="inlineStr"/>
    </row>
    <row r="71" ht="39" customHeight="1">
      <c r="A71" s="11" t="inlineStr">
        <is>
          <t>TC-NFR-12</t>
        </is>
      </c>
      <c r="B71" s="11" t="inlineStr">
        <is>
          <t>NFR-12</t>
        </is>
      </c>
      <c r="C71" s="11" t="inlineStr">
        <is>
          <t>Release gate</t>
        </is>
      </c>
      <c r="D71" s="11" t="inlineStr">
        <is>
          <t>Feature freeze; E2E, dupe, security, load, restore;5 gate có biên bản</t>
        </is>
      </c>
      <c r="E71" s="11" t="inlineStr">
        <is>
          <t>Go/no-go check list; chưa có test nào được đánh dấu passed trong bản kế hoạch</t>
        </is>
      </c>
      <c r="F71" s="11" t="inlineStr">
        <is>
          <t>0P0/0P1;100% Must có ít nhất 1 test passed với evidence; Should có known issues; build/config/schema tags và rollback runbook</t>
        </is>
      </c>
      <c r="G71" s="11" t="inlineStr">
        <is>
          <t>P1</t>
        </is>
      </c>
      <c r="H71" s="11" t="inlineStr">
        <is>
          <t>G5</t>
        </is>
      </c>
      <c r="I71" s="11" t="inlineStr">
        <is>
          <t>GD + CL/SV</t>
        </is>
      </c>
      <c r="J71" s="11" t="inlineStr">
        <is>
          <t>Chưa chạy</t>
        </is>
      </c>
      <c r="K71" s="11" t="inlineStr"/>
      <c r="L71" s="11" t="inlineStr"/>
    </row>
    <row r="72" ht="39" customHeight="1">
      <c r="A72" s="12" t="inlineStr">
        <is>
          <t>E2E-01</t>
        </is>
      </c>
      <c r="B72" s="12" t="inlineStr">
        <is>
          <t>CL-001, CL-016, CL-017, CL-019, CL-020, CL-021</t>
        </is>
      </c>
      <c r="C72" s="12" t="inlineStr">
        <is>
          <t>Tutorial→farm→feed→capture→refine→equip→fight</t>
        </is>
      </c>
      <c r="D72" s="12" t="inlineStr">
        <is>
          <t>Nhân vật mới; test food/timers không thay data production</t>
        </is>
      </c>
      <c r="E72" s="12" t="inlineStr">
        <is>
          <t>Đi hết UC01–08; verifybag/currency/XP/hunger/receipt từng bước</t>
        </is>
      </c>
      <c r="F72" s="12" t="inlineStr">
        <is>
          <t>Không kẹt quest; output II đúng; rank gate không bị vòng lặp</t>
        </is>
      </c>
      <c r="G72" s="12" t="inlineStr">
        <is>
          <t>P1</t>
        </is>
      </c>
      <c r="H72" s="12" t="inlineStr">
        <is>
          <t>G3</t>
        </is>
      </c>
      <c r="I72" s="12" t="inlineStr">
        <is>
          <t>GD + CL/SV</t>
        </is>
      </c>
      <c r="J72" s="12" t="inlineStr">
        <is>
          <t>Chưa chạy</t>
        </is>
      </c>
      <c r="K72" s="12" t="inlineStr"/>
      <c r="L72" s="12" t="inlineStr"/>
    </row>
    <row r="73" ht="31" customHeight="1">
      <c r="A73" s="11" t="inlineStr">
        <is>
          <t>E2E-02</t>
        </is>
      </c>
      <c r="B73" s="11" t="inlineStr">
        <is>
          <t>SV-008, SV-011, AD-004</t>
        </is>
      </c>
      <c r="C73" s="11" t="inlineStr">
        <is>
          <t>Duplicate economic commands</t>
        </is>
      </c>
      <c r="D73" s="11" t="inlineStr">
        <is>
          <t>2 socket cùng account;20 retry UUID; payload conflict</t>
        </is>
      </c>
      <c r="E73" s="11" t="inlineStr">
        <is>
          <t>Buy/feed/refine/grant; timeout/resend; query receipt</t>
        </is>
      </c>
      <c r="F73" s="11" t="inlineStr">
        <is>
          <t>1 hiệu lực/UUID; payload khác 409; balance/item không âm</t>
        </is>
      </c>
      <c r="G73" s="11" t="inlineStr">
        <is>
          <t>P0</t>
        </is>
      </c>
      <c r="H73" s="11" t="inlineStr">
        <is>
          <t>G3</t>
        </is>
      </c>
      <c r="I73" s="11" t="inlineStr">
        <is>
          <t>GD + CL/SV</t>
        </is>
      </c>
      <c r="J73" s="11" t="inlineStr">
        <is>
          <t>Chưa chạy</t>
        </is>
      </c>
      <c r="K73" s="11" t="inlineStr"/>
      <c r="L73" s="11" t="inlineStr"/>
    </row>
    <row r="74" ht="31" customHeight="1">
      <c r="A74" s="12" t="inlineStr">
        <is>
          <t>E2E-03</t>
        </is>
      </c>
      <c r="B74" s="12" t="inlineStr">
        <is>
          <t>SV-007, SV-008</t>
        </is>
      </c>
      <c r="C74" s="12" t="inlineStr">
        <is>
          <t>Crash transaction boundary</t>
        </is>
      </c>
      <c r="D74" s="12" t="inlineStr">
        <is>
          <t>Faultinjection trước commit/saucommit/trước ACK</t>
        </is>
      </c>
      <c r="E74" s="12" t="inlineStr">
        <is>
          <t>Kill server rồi restart/query receipt</t>
        </is>
      </c>
      <c r="F74" s="12" t="inlineStr">
        <is>
          <t>Trước commit rollback; sau commit đúng 1 receipt; không reroll</t>
        </is>
      </c>
      <c r="G74" s="12" t="inlineStr">
        <is>
          <t>P0</t>
        </is>
      </c>
      <c r="H74" s="12" t="inlineStr">
        <is>
          <t>G3</t>
        </is>
      </c>
      <c r="I74" s="12" t="inlineStr">
        <is>
          <t>GD + CL/SV</t>
        </is>
      </c>
      <c r="J74" s="12" t="inlineStr">
        <is>
          <t>Chưa chạy</t>
        </is>
      </c>
      <c r="K74" s="12" t="inlineStr"/>
      <c r="L74" s="12" t="inlineStr"/>
    </row>
    <row r="75" ht="31" customHeight="1">
      <c r="A75" s="11" t="inlineStr">
        <is>
          <t>E2E-04</t>
        </is>
      </c>
      <c r="B75" s="11" t="inlineStr">
        <is>
          <t>SV-004, SV-018</t>
        </is>
      </c>
      <c r="C75" s="11" t="inlineStr">
        <is>
          <t>Two writers/map transfer</t>
        </is>
      </c>
      <c r="D75" s="11" t="inlineStr">
        <is>
          <t>2 room process; lease expiry; reserve/commit/abort</t>
        </is>
      </c>
      <c r="E75" s="11" t="inlineStr">
        <is>
          <t>Kill từng bước handoff; room cũ tiếp tục ghi</t>
        </is>
      </c>
      <c r="F75" s="11" t="inlineStr">
        <is>
          <t>Tối đa 1 writer; stale lease blocked; bag/tiền nguyênvẹn</t>
        </is>
      </c>
      <c r="G75" s="11" t="inlineStr">
        <is>
          <t>P0</t>
        </is>
      </c>
      <c r="H75" s="11" t="inlineStr">
        <is>
          <t>G3</t>
        </is>
      </c>
      <c r="I75" s="11" t="inlineStr">
        <is>
          <t>GD + CL/SV</t>
        </is>
      </c>
      <c r="J75" s="11" t="inlineStr">
        <is>
          <t>Chưa chạy</t>
        </is>
      </c>
      <c r="K75" s="11" t="inlineStr"/>
      <c r="L75" s="11" t="inlineStr"/>
    </row>
    <row r="76" ht="31" customHeight="1">
      <c r="A76" s="12" t="inlineStr">
        <is>
          <t>E2E-05</t>
        </is>
      </c>
      <c r="B76" s="12" t="inlineStr">
        <is>
          <t>CL-016, SV-006, SV-010</t>
        </is>
      </c>
      <c r="C76" s="12" t="inlineStr">
        <is>
          <t>Capture versus kill race</t>
        </is>
      </c>
      <c r="D76" s="12" t="inlineStr">
        <is>
          <t>2 client+capturable target low HP</t>
        </is>
      </c>
      <c r="E76" s="12" t="inlineStr">
        <is>
          <t>Capture complete và last-hit cùng tick; DBfaultreward</t>
        </is>
      </c>
      <c r="F76" s="12" t="inlineStr">
        <is>
          <t>1 terminal outcome; no2 Gu/noGu+killlootdouble</t>
        </is>
      </c>
      <c r="G76" s="12" t="inlineStr">
        <is>
          <t>P1</t>
        </is>
      </c>
      <c r="H76" s="12" t="inlineStr">
        <is>
          <t>G3</t>
        </is>
      </c>
      <c r="I76" s="12" t="inlineStr">
        <is>
          <t>GD + CL/SV</t>
        </is>
      </c>
      <c r="J76" s="12" t="inlineStr">
        <is>
          <t>Chưa chạy</t>
        </is>
      </c>
      <c r="K76" s="12" t="inlineStr"/>
      <c r="L76" s="12" t="inlineStr"/>
    </row>
    <row r="77" ht="31" customHeight="1">
      <c r="A77" s="11" t="inlineStr">
        <is>
          <t>E2E-06</t>
        </is>
      </c>
      <c r="B77" s="11" t="inlineStr">
        <is>
          <t>SV-009, CL-013</t>
        </is>
      </c>
      <c r="C77" s="11" t="inlineStr">
        <is>
          <t>Bag full và inbox full</t>
        </is>
      </c>
      <c r="D77" s="11" t="inlineStr">
        <is>
          <t>30 slot đầy; inbox 99/100 entry</t>
        </is>
      </c>
      <c r="E77" s="11" t="inlineStr">
        <is>
          <t>Kill/claim/shop/craft; reconnect</t>
        </is>
      </c>
      <c r="F77" s="11" t="inlineStr">
        <is>
          <t>Không mất reward; không overflow&gt;100; claim exactlyonce</t>
        </is>
      </c>
      <c r="G77" s="11" t="inlineStr">
        <is>
          <t>P1</t>
        </is>
      </c>
      <c r="H77" s="11" t="inlineStr">
        <is>
          <t>G3</t>
        </is>
      </c>
      <c r="I77" s="11" t="inlineStr">
        <is>
          <t>GD + CL/SV</t>
        </is>
      </c>
      <c r="J77" s="11" t="inlineStr">
        <is>
          <t>Chưa chạy</t>
        </is>
      </c>
      <c r="K77" s="11" t="inlineStr"/>
      <c r="L77" s="11" t="inlineStr"/>
    </row>
    <row r="78" ht="31" customHeight="1">
      <c r="A78" s="12" t="inlineStr">
        <is>
          <t>E2E-07</t>
        </is>
      </c>
      <c r="B78" s="12" t="inlineStr">
        <is>
          <t>SV-001, SV-003, SV-013, AD-001</t>
        </is>
      </c>
      <c r="C78" s="12" t="inlineStr">
        <is>
          <t>Private state và access</t>
        </is>
      </c>
      <c r="D78" s="12" t="inlineStr">
        <is>
          <t>Token missing/expired/account khác/GMrole</t>
        </is>
      </c>
      <c r="E78" s="12" t="inlineStr">
        <is>
          <t>Inspectfullsnapshot/AOI; callGMgrant; party channel ngoài đội</t>
        </is>
      </c>
      <c r="F78" s="12" t="inlineStr">
        <is>
          <t>Rejectunauthorized; không lộ bag/private/chat party</t>
        </is>
      </c>
      <c r="G78" s="12" t="inlineStr">
        <is>
          <t>P0</t>
        </is>
      </c>
      <c r="H78" s="12" t="inlineStr">
        <is>
          <t>G5</t>
        </is>
      </c>
      <c r="I78" s="12" t="inlineStr">
        <is>
          <t>GD + CL/SV</t>
        </is>
      </c>
      <c r="J78" s="12" t="inlineStr">
        <is>
          <t>Chưa chạy</t>
        </is>
      </c>
      <c r="K78" s="12" t="inlineStr"/>
      <c r="L78" s="12" t="inlineStr"/>
    </row>
    <row r="79" ht="31" customHeight="1">
      <c r="A79" s="11" t="inlineStr">
        <is>
          <t>E2E-08</t>
        </is>
      </c>
      <c r="B79" s="11" t="inlineStr">
        <is>
          <t>CL-025, SV-014</t>
        </is>
      </c>
      <c r="C79" s="11" t="inlineStr">
        <is>
          <t>Dungeon completion retry</t>
        </is>
      </c>
      <c r="D79" s="11" t="inlineStr">
        <is>
          <t>Party 3;1 disconnect; bossfinish2 callback</t>
        </is>
      </c>
      <c r="E79" s="11" t="inlineStr">
        <is>
          <t>Runwin; retry reward; rejoin và claim</t>
        </is>
      </c>
      <c r="F79" s="11" t="inlineStr">
        <is>
          <t>Personal reward 1 lần; participation rule đúng; room cleanup</t>
        </is>
      </c>
      <c r="G79" s="11" t="inlineStr">
        <is>
          <t>P1</t>
        </is>
      </c>
      <c r="H79" s="11" t="inlineStr">
        <is>
          <t>G4</t>
        </is>
      </c>
      <c r="I79" s="11" t="inlineStr">
        <is>
          <t>GD + CL/SV</t>
        </is>
      </c>
      <c r="J79" s="11" t="inlineStr">
        <is>
          <t>Chưa chạy</t>
        </is>
      </c>
      <c r="K79" s="11" t="inlineStr"/>
      <c r="L79" s="11" t="inlineStr"/>
    </row>
    <row r="80" ht="31" customHeight="1">
      <c r="A80" s="12" t="inlineStr">
        <is>
          <t>E2E-09</t>
        </is>
      </c>
      <c r="B80" s="12" t="inlineStr">
        <is>
          <t>CL-026, SV-014</t>
        </is>
      </c>
      <c r="C80" s="12" t="inlineStr">
        <is>
          <t>Duel và safe zone</t>
        </is>
      </c>
      <c r="D80" s="12" t="inlineStr">
        <is>
          <t>2 accept;1 disconnect; timeout; doubleDC</t>
        </is>
      </c>
      <c r="E80" s="12" t="inlineStr">
        <is>
          <t>Đánh ngoài arena; duel cho đến terminal</t>
        </is>
      </c>
      <c r="F80" s="12" t="inlineStr">
        <is>
          <t>OutsidePvP0damage;1 result; không drop/penalty; double DC hòa</t>
        </is>
      </c>
      <c r="G80" s="12" t="inlineStr">
        <is>
          <t>P1</t>
        </is>
      </c>
      <c r="H80" s="12" t="inlineStr">
        <is>
          <t>G4</t>
        </is>
      </c>
      <c r="I80" s="12" t="inlineStr">
        <is>
          <t>GD + CL/SV</t>
        </is>
      </c>
      <c r="J80" s="12" t="inlineStr">
        <is>
          <t>Chưa chạy</t>
        </is>
      </c>
      <c r="K80" s="12" t="inlineStr"/>
      <c r="L80" s="12" t="inlineStr"/>
    </row>
    <row r="81" ht="31" customHeight="1">
      <c r="A81" s="11" t="inlineStr">
        <is>
          <t>E2E-10</t>
        </is>
      </c>
      <c r="B81" s="11" t="inlineStr">
        <is>
          <t>CL-017, SV-010</t>
        </is>
      </c>
      <c r="C81" s="11" t="inlineStr">
        <is>
          <t>Hunger online/offline/reconnect</t>
        </is>
      </c>
      <c r="D81" s="11" t="inlineStr">
        <is>
          <t>Equip 0/1/19/20 hunger; offline15min; reconnect</t>
        </is>
      </c>
      <c r="E81" s="11" t="inlineStr">
        <is>
          <t>Serverclockadvance; feed retry; unequip; passive</t>
        </is>
      </c>
      <c r="F81" s="11" t="inlineStr">
        <is>
          <t>Online chỉ 1 lần elapsed; offline stop;0 khóa skill; feedcap100</t>
        </is>
      </c>
      <c r="G81" s="11" t="inlineStr">
        <is>
          <t>P1</t>
        </is>
      </c>
      <c r="H81" s="11" t="inlineStr">
        <is>
          <t>G3</t>
        </is>
      </c>
      <c r="I81" s="11" t="inlineStr">
        <is>
          <t>GD + CL/SV</t>
        </is>
      </c>
      <c r="J81" s="11" t="inlineStr">
        <is>
          <t>Chưa chạy</t>
        </is>
      </c>
      <c r="K81" s="11" t="inlineStr"/>
      <c r="L81" s="11" t="inlineStr"/>
    </row>
    <row r="82" ht="31" customHeight="1">
      <c r="A82" s="12" t="inlineStr">
        <is>
          <t>E2E-11</t>
        </is>
      </c>
      <c r="B82" s="12" t="inlineStr">
        <is>
          <t>NFR-02, NFR-03, NFR-04</t>
        </is>
      </c>
      <c r="C82" s="12" t="inlineStr">
        <is>
          <t>Load+network degradation</t>
        </is>
      </c>
      <c r="D82" s="12" t="inlineStr">
        <is>
          <t>50bots tổng,20/map,50 mob/map; RTT100msloss1%</t>
        </is>
      </c>
      <c r="E82" s="12" t="inlineStr">
        <is>
          <t>2 giờ move/cast/loot; craft batch; reconnect</t>
        </is>
      </c>
      <c r="F82" s="12" t="inlineStr">
        <is>
          <t>NFR02/03/04 đạt; ghiCPU/RAM/build/config và phân phối</t>
        </is>
      </c>
      <c r="G82" s="12" t="inlineStr">
        <is>
          <t>P1</t>
        </is>
      </c>
      <c r="H82" s="12" t="inlineStr">
        <is>
          <t>G5</t>
        </is>
      </c>
      <c r="I82" s="12" t="inlineStr">
        <is>
          <t>GD + CL/SV</t>
        </is>
      </c>
      <c r="J82" s="12" t="inlineStr">
        <is>
          <t>Chưa chạy</t>
        </is>
      </c>
      <c r="K82" s="12" t="inlineStr"/>
      <c r="L82" s="12" t="inlineStr"/>
    </row>
    <row r="83" ht="31" customHeight="1">
      <c r="A83" s="11" t="inlineStr">
        <is>
          <t>E2E-12</t>
        </is>
      </c>
      <c r="B83" s="11" t="inlineStr">
        <is>
          <t>NFR-06, SV-017</t>
        </is>
      </c>
      <c r="C83" s="11" t="inlineStr">
        <is>
          <t>Restore và release rollback</t>
        </is>
      </c>
      <c r="D83" s="11" t="inlineStr">
        <is>
          <t>Snapshot daily+beforetag; DB rỗng</t>
        </is>
      </c>
      <c r="E83" s="11" t="inlineStr">
        <is>
          <t>Restore; verifyrowcounts/ledger; smoke; rollback compatible app</t>
        </is>
      </c>
      <c r="F83" s="11" t="inlineStr">
        <is>
          <t>RPO≤24h/RTO≤2h; biên bản; không đụng DB nguồn</t>
        </is>
      </c>
      <c r="G83" s="11" t="inlineStr">
        <is>
          <t>P1</t>
        </is>
      </c>
      <c r="H83" s="11" t="inlineStr">
        <is>
          <t>G5</t>
        </is>
      </c>
      <c r="I83" s="11" t="inlineStr">
        <is>
          <t>GD + CL/SV</t>
        </is>
      </c>
      <c r="J83" s="11" t="inlineStr">
        <is>
          <t>Chưa chạy</t>
        </is>
      </c>
      <c r="K83" s="11" t="inlineStr"/>
      <c r="L83" s="11" t="inlineStr"/>
    </row>
  </sheetData>
  <autoFilter ref="A4:L83"/>
  <mergeCells count="2">
    <mergeCell ref="A2:L2"/>
    <mergeCell ref="A1:L1"/>
  </mergeCells>
  <dataValidations count="1">
    <dataValidation sqref="J5:J83" showDropDown="0" showInputMessage="0" showErrorMessage="1" allowBlank="0" errorTitle="Giá trị chưa hợp lệ" error="Chọn một giá trị trong danh sách." type="list">
      <formula1>"Chưa chạy,Passed,Failed,Blocked,Not applicable"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0"/>
    <pageSetUpPr fitToPage="1"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28" customWidth="1" min="4" max="4"/>
    <col width="100" customWidth="1" min="5" max="5"/>
    <col width="19" customWidth="1" min="6" max="6"/>
    <col width="23" customWidth="1" min="7" max="7"/>
    <col width="20" customWidth="1" min="8" max="8"/>
    <col width="19" customWidth="1" min="9" max="9"/>
    <col width="19" customWidth="1" min="10" max="10"/>
    <col width="18" customWidth="1" min="11" max="11"/>
    <col width="13" customWidth="1" min="12" max="12"/>
    <col width="70" customWidth="1" min="13" max="13"/>
  </cols>
  <sheetData>
    <row r="1" ht="34" customHeight="1">
      <c r="A1" s="1" t="inlineStr">
        <is>
          <t>17 / QA Issue Tracker</t>
        </is>
      </c>
    </row>
    <row r="2" ht="31" customHeight="1">
      <c r="A2" s="2" t="inlineStr">
        <is>
          <t>Tham khảo sheet QA From Client của mẫu; đây là form rỗng, không phải lỗi phá thiện thực tế. P0 mất/nhân dữ liệu, P1blocker, P2degraded, P3cosmetic.</t>
        </is>
      </c>
    </row>
    <row r="4" ht="31" customHeight="1">
      <c r="A4" s="3" t="inlineStr">
        <is>
          <t>Issue ID</t>
        </is>
      </c>
      <c r="B4" s="3" t="inlineStr">
        <is>
          <t>Category</t>
        </is>
      </c>
      <c r="C4" s="3" t="inlineStr">
        <is>
          <t>Function / Req ID</t>
        </is>
      </c>
      <c r="D4" s="3" t="inlineStr">
        <is>
          <t>Path / Screen</t>
        </is>
      </c>
      <c r="E4" s="3" t="inlineStr">
        <is>
          <t>Steps / Request</t>
        </is>
      </c>
      <c r="F4" s="3" t="inlineStr">
        <is>
          <t>Requested date</t>
        </is>
      </c>
      <c r="G4" s="3" t="inlineStr">
        <is>
          <t>Reporter</t>
        </is>
      </c>
      <c r="H4" s="3" t="inlineStr">
        <is>
          <t>Status</t>
        </is>
      </c>
      <c r="I4" s="3" t="inlineStr">
        <is>
          <t>Planned date</t>
        </is>
      </c>
      <c r="J4" s="3" t="inlineStr">
        <is>
          <t>Completed date</t>
        </is>
      </c>
      <c r="K4" s="3" t="inlineStr">
        <is>
          <t>Owner</t>
        </is>
      </c>
      <c r="L4" s="3" t="inlineStr">
        <is>
          <t>Priority</t>
        </is>
      </c>
      <c r="M4" s="3" t="inlineStr">
        <is>
          <t>Notes / Evidence</t>
        </is>
      </c>
    </row>
    <row r="5" ht="31" customHeight="1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</row>
    <row r="6" ht="31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</row>
    <row r="7" ht="31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</row>
    <row r="8" ht="31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</row>
    <row r="9" ht="31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 ht="31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</row>
    <row r="11" ht="31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</row>
    <row r="12" ht="31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</row>
    <row r="13" ht="31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</row>
    <row r="14" ht="31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</row>
    <row r="15" ht="31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</row>
    <row r="16" ht="31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</row>
  </sheetData>
  <autoFilter ref="A4:M16"/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0"/>
    <pageSetUpPr fitToPage="1"/>
  </sheetPr>
  <dimension ref="A1:I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  <col width="90" customWidth="1" min="5" max="5"/>
    <col width="20" customWidth="1" min="6" max="6"/>
    <col width="100" customWidth="1" min="7" max="7"/>
    <col width="95" customWidth="1" min="8" max="8"/>
    <col width="14" customWidth="1" min="9" max="9"/>
  </cols>
  <sheetData>
    <row r="1" ht="34" customHeight="1">
      <c r="A1" s="1" t="inlineStr">
        <is>
          <t>18 / Risk Register</t>
        </is>
      </c>
    </row>
    <row r="2" ht="31" customHeight="1">
      <c r="A2" s="2" t="inlineStr">
        <is>
          <t>Likelihood/Impact1–5; score=L×I. Rủi ro cao được xem lại ở mỗi gate; không coi dự phòng là công suất cho thêm feature.</t>
        </is>
      </c>
    </row>
    <row r="4" ht="31" customHeight="1">
      <c r="A4" s="3" t="inlineStr">
        <is>
          <t>ID</t>
        </is>
      </c>
      <c r="B4" s="3" t="inlineStr">
        <is>
          <t>Risk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Trigger</t>
        </is>
      </c>
      <c r="F4" s="3" t="inlineStr">
        <is>
          <t>Owner</t>
        </is>
      </c>
      <c r="G4" s="3" t="inlineStr">
        <is>
          <t>Mitigation</t>
        </is>
      </c>
      <c r="H4" s="3" t="inlineStr">
        <is>
          <t>Fallback / Cutline</t>
        </is>
      </c>
      <c r="I4" s="3" t="inlineStr">
        <is>
          <t>Score</t>
        </is>
      </c>
    </row>
    <row r="5" ht="31" customHeight="1">
      <c r="A5" s="11" t="inlineStr">
        <is>
          <t>R-01</t>
        </is>
      </c>
      <c r="B5" s="11" t="inlineStr">
        <is>
          <t>Thời gian kiêm nhiệm không đủ</t>
        </is>
      </c>
      <c r="C5" s="11" t="n">
        <v>5</v>
      </c>
      <c r="D5" s="11" t="n">
        <v>5</v>
      </c>
      <c r="E5" s="11" t="inlineStr">
        <is>
          <t>Giờ hữu ích &lt;75% giả định trong 2 sprint; task carryover&gt;20%</t>
        </is>
      </c>
      <c r="F5" s="11" t="inlineStr">
        <is>
          <t>GD</t>
        </is>
      </c>
      <c r="G5" s="11" t="inlineStr">
        <is>
          <t>Ghi giờ thật; giảm scope; dùng scenario 10/15h; không giả làm full time</t>
        </is>
      </c>
      <c r="H5" s="11" t="inlineStr">
        <is>
          <t>Bỏ duel/chat trước; giữ core loop và transaction</t>
        </is>
      </c>
      <c r="I5" s="11">
        <f>C5*D5</f>
        <v>25</v>
      </c>
    </row>
    <row r="6" ht="31" customHeight="1">
      <c r="A6" s="12" t="inlineStr">
        <is>
          <t>R-02</t>
        </is>
      </c>
      <c r="B6" s="12" t="inlineStr">
        <is>
          <t>Thiếu kỹ năng authoritative/backend</t>
        </is>
      </c>
      <c r="C6" s="12" t="n">
        <v>4</v>
      </c>
      <c r="D6" s="12" t="n">
        <v>5</v>
      </c>
      <c r="E6" s="12" t="inlineStr">
        <is>
          <t>SpikeS01 không chặn warp hoặc 2 socket gây dupe</t>
        </is>
      </c>
      <c r="F6" s="12" t="inlineStr">
        <is>
          <t>SV</t>
        </is>
      </c>
      <c r="G6" s="12" t="inlineStr">
        <is>
          <t>Spike và peer review; single writer+transaction trước social</t>
        </is>
      </c>
      <c r="H6" s="12" t="inlineStr">
        <is>
          <t>Thêm spike; giảm CCU/map; không chuyển client authority</t>
        </is>
      </c>
      <c r="I6" s="12">
        <f>C6*D6</f>
        <v>20</v>
      </c>
    </row>
    <row r="7" ht="31" customHeight="1">
      <c r="A7" s="11" t="inlineStr">
        <is>
          <t>R-03</t>
        </is>
      </c>
      <c r="B7" s="11" t="inlineStr">
        <is>
          <t>Asset vượt sức 1 artist</t>
        </is>
      </c>
      <c r="C7" s="11" t="n">
        <v>4</v>
      </c>
      <c r="D7" s="11" t="n">
        <v>4</v>
      </c>
      <c r="E7" s="11" t="inlineStr">
        <is>
          <t>Danh sách sprite&gt;3pd/sprint; payload&gt;budget</t>
        </is>
      </c>
      <c r="F7" s="11" t="inlineStr">
        <is>
          <t>AR</t>
        </is>
      </c>
      <c r="G7" s="11" t="inlineStr">
        <is>
          <t>1 avatar,4facing; mirror/recolor;8 primitive; tileset dùng lại</t>
        </is>
      </c>
      <c r="H7" s="11" t="inlineStr">
        <is>
          <t>Giảm quái 6→4, Gu20→12; không tạo 8 hướng mọi loại</t>
        </is>
      </c>
      <c r="I7" s="11">
        <f>C7*D7</f>
        <v>16</v>
      </c>
    </row>
    <row r="8" ht="31" customHeight="1">
      <c r="A8" s="12" t="inlineStr">
        <is>
          <t>R-04</t>
        </is>
      </c>
      <c r="B8" s="12" t="inlineStr">
        <is>
          <t>Dupe hoặc mất tài sản</t>
        </is>
      </c>
      <c r="C8" s="12" t="n">
        <v>3</v>
      </c>
      <c r="D8" s="12" t="n">
        <v>5</v>
      </c>
      <c r="E8" s="12" t="inlineStr">
        <is>
          <t>Retry/kill process cho2 output hoặc ACK không durable</t>
        </is>
      </c>
      <c r="F8" s="12" t="inlineStr">
        <is>
          <t>SV</t>
        </is>
      </c>
      <c r="G8" s="12" t="inlineStr">
        <is>
          <t>Idempotency, lock, ledger, receipt, fault tests; PK drop để sau</t>
        </is>
      </c>
      <c r="H8" s="12" t="inlineStr">
        <is>
          <t>BlockG3/G5; khóa economic commands nếu cần; không xóa log</t>
        </is>
      </c>
      <c r="I8" s="12">
        <f>C8*D8</f>
        <v>15</v>
      </c>
    </row>
    <row r="9" ht="31" customHeight="1">
      <c r="A9" s="11" t="inlineStr">
        <is>
          <t>R-05</t>
        </is>
      </c>
      <c r="B9" s="11" t="inlineStr">
        <is>
          <t>Tải server/render không đạt</t>
        </is>
      </c>
      <c r="C9" s="11" t="n">
        <v>4</v>
      </c>
      <c r="D9" s="11" t="n">
        <v>4</v>
      </c>
      <c r="E9" s="11" t="inlineStr">
        <is>
          <t>Tickp95&gt;40ms; FPSmedian&lt;50 ở scene chuẩn</t>
        </is>
      </c>
      <c r="F9" s="11" t="inlineStr">
        <is>
          <t>CL+SV</t>
        </is>
      </c>
      <c r="G9" s="11" t="inlineStr">
        <is>
          <t>AOI; spawn limit; atlas; loadtestS04/S17; đo máy thật</t>
        </is>
      </c>
      <c r="H9" s="11" t="inlineStr">
        <is>
          <t>Giảm 20→10/map,50→20CCU; phải ghi NFR thay đổi</t>
        </is>
      </c>
      <c r="I9" s="11">
        <f>C9*D9</f>
        <v>16</v>
      </c>
    </row>
    <row r="10" ht="31" customHeight="1">
      <c r="A10" s="12" t="inlineStr">
        <is>
          <t>R-06</t>
        </is>
      </c>
      <c r="B10" s="12" t="inlineStr">
        <is>
          <t>Nuôi/luyện gây mệt hoặc bế tắc</t>
        </is>
      </c>
      <c r="C10" s="12" t="n">
        <v>3</v>
      </c>
      <c r="D10" s="12" t="n">
        <v>4</v>
      </c>
      <c r="E10" s="12" t="inlineStr">
        <is>
          <t>≥30% tester không tiếp tục sau craft fail; thiếu food; quest không đủ rank</t>
        </is>
      </c>
      <c r="F10" s="12" t="inlineStr">
        <is>
          <t>GD</t>
        </is>
      </c>
      <c r="G10" s="12" t="inlineStr">
        <is>
          <t>Online hunger; nopermadeath; pity; mainquestXP4500;3 build tests</t>
        </is>
      </c>
      <c r="H10" s="12" t="inlineStr">
        <is>
          <t>Tăng nguồn food; recipe100% trong test; so sánh funnel</t>
        </is>
      </c>
      <c r="I10" s="12">
        <f>C10*D10</f>
        <v>12</v>
      </c>
    </row>
    <row r="11" ht="31" customHeight="1">
      <c r="A11" s="11" t="inlineStr">
        <is>
          <t>R-07</t>
        </is>
      </c>
      <c r="B11" s="11" t="inlineStr">
        <is>
          <t>Không có tiền/máy host public alpha</t>
        </is>
      </c>
      <c r="C11" s="11" t="n">
        <v>4</v>
      </c>
      <c r="D11" s="11" t="n">
        <v>4</v>
      </c>
      <c r="E11" s="11" t="inlineStr">
        <is>
          <t>S16 chưa có host và backup ngoài máy đang chạy</t>
        </is>
      </c>
      <c r="F11" s="11" t="inlineStr">
        <is>
          <t>SV+Owner</t>
        </is>
      </c>
      <c r="G11" s="11" t="inlineStr">
        <is>
          <t>Local/LAN trước; ghi điều kiện free resource; chốt cash sheet</t>
        </is>
      </c>
      <c r="H11" s="11" t="inlineStr">
        <is>
          <t>Chỉ alpha LAN; không cam kết internet 24/7</t>
        </is>
      </c>
      <c r="I11" s="11">
        <f>C11*D11</f>
        <v>16</v>
      </c>
    </row>
    <row r="12" ht="31" customHeight="1">
      <c r="A12" s="12" t="inlineStr">
        <is>
          <t>R-08</t>
        </is>
      </c>
      <c r="B12" s="12" t="inlineStr">
        <is>
          <t>Naming/asset chưa rõ nguồn dùng</t>
        </is>
      </c>
      <c r="C12" s="12" t="n">
        <v>3</v>
      </c>
      <c r="D12" s="12" t="n">
        <v>4</v>
      </c>
      <c r="E12" s="12" t="inlineStr">
        <is>
          <t>Không có manifest nguồn hoặc chưa chốt tên phá thành</t>
        </is>
      </c>
      <c r="F12" s="12" t="inlineStr">
        <is>
          <t>Owner+AR</t>
        </is>
      </c>
      <c r="G12" s="12" t="inlineStr">
        <is>
          <t>Tên làm việc; ghiassetlicense/source/author ngaykhiimport</t>
        </is>
      </c>
      <c r="H12" s="12" t="inlineStr">
        <is>
          <t>Thay asset/tên trước alpha công khai</t>
        </is>
      </c>
      <c r="I12" s="12">
        <f>C12*D12</f>
        <v>12</v>
      </c>
    </row>
    <row r="13" ht="31" customHeight="1">
      <c r="A13" s="11" t="inlineStr">
        <is>
          <t>R-09</t>
        </is>
      </c>
      <c r="B13" s="11" t="inlineStr">
        <is>
          <t>Scope nở thành MMORPG đầy đủ</t>
        </is>
      </c>
      <c r="C13" s="11" t="n">
        <v>5</v>
      </c>
      <c r="D13" s="11" t="n">
        <v>4</v>
      </c>
      <c r="E13" s="11" t="inlineStr">
        <is>
          <t>Thêmguild/auction/công thành khichưaG3</t>
        </is>
      </c>
      <c r="F13" s="11" t="inlineStr">
        <is>
          <t>GD</t>
        </is>
      </c>
      <c r="G13" s="11" t="inlineStr">
        <is>
          <t>Change request phải có effort/owner/deps; one in, one out</t>
        </is>
      </c>
      <c r="H13" s="11" t="inlineStr">
        <is>
          <t>GiữP2/P3; không âm thầm kéo dài lịch</t>
        </is>
      </c>
      <c r="I13" s="11">
        <f>C13*D13</f>
        <v>20</v>
      </c>
    </row>
    <row r="14" ht="31" customHeight="1">
      <c r="A14" s="12" t="inlineStr">
        <is>
          <t>R-10</t>
        </is>
      </c>
      <c r="B14" s="12" t="inlineStr">
        <is>
          <t>Một thành viên ngừng tham gia</t>
        </is>
      </c>
      <c r="C14" s="12" t="n">
        <v>3</v>
      </c>
      <c r="D14" s="12" t="n">
        <v>5</v>
      </c>
      <c r="E14" s="12" t="inlineStr">
        <is>
          <t>Vắng 2 tuần/không handoff; knowledge chỉ 1 người</t>
        </is>
      </c>
      <c r="F14" s="12" t="inlineStr">
        <is>
          <t>Cả đội</t>
        </is>
      </c>
      <c r="G14" s="12" t="inlineStr">
        <is>
          <t>README; weekly demo; client/server cross review; asset manifest</t>
        </is>
      </c>
      <c r="H14" s="12" t="inlineStr">
        <is>
          <t>Rebaseline theo 3 người; giảm content/social; không giữ deadline cũ</t>
        </is>
      </c>
      <c r="I14" s="12">
        <f>C14*D14</f>
        <v>15</v>
      </c>
    </row>
  </sheetData>
  <autoFilter ref="A4:I14"/>
  <mergeCells count="2">
    <mergeCell ref="A1:I1"/>
    <mergeCell ref="A2:I2"/>
  </mergeCells>
  <conditionalFormatting sqref="I5:I14">
    <cfRule type="colorScale" priority="1">
      <colorScale>
        <cfvo type="min"/>
        <cfvo type="max"/>
        <color rgb="00E2F1E8"/>
        <color rgb="00E99887"/>
      </colorScale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 xmlns:ns1="http://schemas.openxmlformats.org/officeDocument/2006/relationships">
  <sheetPr>
    <outlinePr summaryBelow="1" summaryRight="0"/>
    <pageSetUpPr fitToPage="1"/>
  </sheetPr>
  <dimension ref="A1:I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100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</cols>
  <sheetData>
    <row r="1" ht="34" customHeight="1">
      <c r="A1" s="1" t="inlineStr">
        <is>
          <t>19 / Công suất và tải theo vai trò</t>
        </is>
      </c>
    </row>
    <row r="2" ht="31" customHeight="1">
      <c r="A2" s="2" t="inlineStr">
        <is>
          <t>Mỗi người20h/tuần×36 tuần×75%=67.5 PD hữu ích. Dự phòng 20% đã trong tải; không giả định có QA/DevOps thứ 5.</t>
        </is>
      </c>
    </row>
    <row r="4" ht="31" customHeight="1">
      <c r="A4" s="3" t="inlineStr">
        <is>
          <t>Role</t>
        </is>
      </c>
      <c r="B4" s="3" t="inlineStr">
        <is>
          <t>Người / vai trò</t>
        </is>
      </c>
      <c r="C4" s="3" t="inlineStr">
        <is>
          <t>Trách nhiệm</t>
        </is>
      </c>
      <c r="D4" s="3" t="inlineStr">
        <is>
          <t>Base PD</t>
        </is>
      </c>
      <c r="E4" s="3" t="inlineStr">
        <is>
          <t>Reserve PD</t>
        </is>
      </c>
      <c r="F4" s="3" t="inlineStr">
        <is>
          <t>Total PD</t>
        </is>
      </c>
      <c r="G4" s="3" t="inlineStr">
        <is>
          <t>Capacity PD</t>
        </is>
      </c>
      <c r="H4" s="3" t="inlineStr">
        <is>
          <t>Remaining PD</t>
        </is>
      </c>
      <c r="I4" s="3" t="inlineStr">
        <is>
          <t>Utilization</t>
        </is>
      </c>
    </row>
    <row r="5" ht="31" customHeight="1">
      <c r="A5" s="11" t="inlineStr">
        <is>
          <t>GD</t>
        </is>
      </c>
      <c r="B5" s="11" t="inlineStr">
        <is>
          <t>Thành viên 1 — Product/Game Design + QA</t>
        </is>
      </c>
      <c r="C5" s="11" t="inlineStr">
        <is>
          <t>Phạm vi, dữ liệu cân bằng, quest, kiểm thử, điều phối và playtest</t>
        </is>
      </c>
      <c r="D5" s="11">
        <f>SUMIF('13_WBS'!$E$5:$E$76,A5,'13_WBS'!$J$5:$J$76)</f>
        <v>47.0</v>
      </c>
      <c r="E5" s="11">
        <f>D5*'00_START'!$B$10</f>
        <v>9.4</v>
      </c>
      <c r="F5" s="11">
        <f>D5+E5</f>
        <v>56.4</v>
      </c>
      <c r="G5" s="11">
        <f>'00_START'!$B$11*'00_START'!$B$8*'00_START'!$B$9/'00_START'!$B$12</f>
        <v>67.5</v>
      </c>
      <c r="H5" s="11">
        <f>G5-F5</f>
        <v>11.100000000000001</v>
      </c>
      <c r="I5" s="16">
        <f>IFERROR(F5/G5,0)</f>
        <v>0.8355555555555555</v>
      </c>
    </row>
    <row r="6" ht="31" customHeight="1">
      <c r="A6" s="12" t="inlineStr">
        <is>
          <t>CL</t>
        </is>
      </c>
      <c r="B6" s="12" t="inlineStr">
        <is>
          <t>Thành viên 2 — Client/Gameplay</t>
        </is>
      </c>
      <c r="C6" s="12" t="inlineStr">
        <is>
          <t>Godot/GDScript, render isometric, điều khiển, UI và tích hợp gameplay</t>
        </is>
      </c>
      <c r="D6" s="12">
        <f>SUMIF('13_WBS'!$E$5:$E$76,A6,'13_WBS'!$J$5:$J$76)</f>
        <v>54</v>
      </c>
      <c r="E6" s="12">
        <f>D6*'00_START'!$B$10</f>
        <v>10.8</v>
      </c>
      <c r="F6" s="12">
        <f>D6+E6</f>
        <v>64.8</v>
      </c>
      <c r="G6" s="12">
        <f>'00_START'!$B$11*'00_START'!$B$8*'00_START'!$B$9/'00_START'!$B$12</f>
        <v>67.5</v>
      </c>
      <c r="H6" s="12">
        <f>G6-F6</f>
        <v>2.700000000000003</v>
      </c>
      <c r="I6" s="20">
        <f>IFERROR(F6/G6,0)</f>
        <v>0.96</v>
      </c>
    </row>
    <row r="7" ht="31" customHeight="1">
      <c r="A7" s="11" t="inlineStr">
        <is>
          <t>SV</t>
        </is>
      </c>
      <c r="B7" s="11" t="inlineStr">
        <is>
          <t>Thành viên 3 — Server/Tech Lead</t>
        </is>
      </c>
      <c r="C7" s="11" t="inlineStr">
        <is>
          <t>Realtime, PostgreSQL, bảo mật, tooling vận hành và triển khai</t>
        </is>
      </c>
      <c r="D7" s="11">
        <f>SUMIF('13_WBS'!$E$5:$E$76,A7,'13_WBS'!$J$5:$J$76)</f>
        <v>54</v>
      </c>
      <c r="E7" s="11">
        <f>D7*'00_START'!$B$10</f>
        <v>10.8</v>
      </c>
      <c r="F7" s="11">
        <f>D7+E7</f>
        <v>64.8</v>
      </c>
      <c r="G7" s="11">
        <f>'00_START'!$B$11*'00_START'!$B$8*'00_START'!$B$9/'00_START'!$B$12</f>
        <v>67.5</v>
      </c>
      <c r="H7" s="11">
        <f>G7-F7</f>
        <v>2.700000000000003</v>
      </c>
      <c r="I7" s="16">
        <f>IFERROR(F7/G7,0)</f>
        <v>0.96</v>
      </c>
    </row>
    <row r="8" ht="31" customHeight="1">
      <c r="A8" s="12" t="inlineStr">
        <is>
          <t>AR</t>
        </is>
      </c>
      <c r="B8" s="12" t="inlineStr">
        <is>
          <t>Thành viên 4 — 2D/Content/UI</t>
        </is>
      </c>
      <c r="C8" s="12" t="inlineStr">
        <is>
          <t>Tileset, sprite, icon, map, VFX, âm thanh có nguồn sử dụng rõ ràng</t>
        </is>
      </c>
      <c r="D8" s="12">
        <f>SUMIF('13_WBS'!$E$5:$E$76,A8,'13_WBS'!$J$5:$J$76)</f>
        <v>44.0</v>
      </c>
      <c r="E8" s="12">
        <f>D8*'00_START'!$B$10</f>
        <v>8.8</v>
      </c>
      <c r="F8" s="12">
        <f>D8+E8</f>
        <v>52.8</v>
      </c>
      <c r="G8" s="12">
        <f>'00_START'!$B$11*'00_START'!$B$8*'00_START'!$B$9/'00_START'!$B$12</f>
        <v>67.5</v>
      </c>
      <c r="H8" s="12">
        <f>G8-F8</f>
        <v>14.700000000000003</v>
      </c>
      <c r="I8" s="20">
        <f>IFERROR(F8/G8,0)</f>
        <v>0.7822222222222222</v>
      </c>
    </row>
  </sheetData>
  <autoFilter ref="A4:I8"/>
  <mergeCells count="2">
    <mergeCell ref="A1:I1"/>
    <mergeCell ref="A2:I2"/>
  </mergeCells>
  <conditionalFormatting sqref="H5:H8">
    <cfRule type="cellIs" priority="1" operator="lessThan" dxfId="1">
      <formula>0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  <drawing ns1:id="rId1"/>
</worksheet>
</file>

<file path=xl/worksheets/sheet21.xml><?xml version="1.0" encoding="utf-8"?>
<worksheet xmlns="http://schemas.openxmlformats.org/spreadsheetml/2006/main">
  <sheetPr>
    <outlinePr summaryBelow="1" summaryRight="0"/>
    <pageSetUpPr fitToPage="1"/>
  </sheetPr>
  <dimension ref="A1:H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9" customWidth="1" min="4" max="4"/>
    <col width="25" customWidth="1" min="5" max="5"/>
    <col width="26" customWidth="1" min="6" max="6"/>
    <col width="23" customWidth="1" min="7" max="7"/>
    <col width="25" customWidth="1" min="8" max="8"/>
  </cols>
  <sheetData>
    <row r="1" ht="34" customHeight="1">
      <c r="A1" s="1" t="inlineStr">
        <is>
          <t>20 / Kiểm tra tải từng sprint × owner</t>
        </is>
      </c>
    </row>
    <row r="2" ht="31" customHeight="1">
      <c r="A2" s="2" t="inlineStr">
        <is>
          <t>Mỗi 2 tuần: capacity 3.75 PD; package3 PD+20%=3.6 PD(96%). Nếu đổi giờ/effort, ô remaining âm phải cắt phạm vi hoặc lập lại lịch.</t>
        </is>
      </c>
    </row>
    <row r="4" ht="31" customHeight="1">
      <c r="A4" s="3" t="inlineStr">
        <is>
          <t>Sprint</t>
        </is>
      </c>
      <c r="B4" s="3" t="inlineStr">
        <is>
          <t>Owner</t>
        </is>
      </c>
      <c r="C4" s="3" t="inlineStr">
        <is>
          <t>Baseline Task ID</t>
        </is>
      </c>
      <c r="D4" s="3" t="inlineStr">
        <is>
          <t>Base PD</t>
        </is>
      </c>
      <c r="E4" s="3" t="inlineStr">
        <is>
          <t>Total PD incl reserve</t>
        </is>
      </c>
      <c r="F4" s="3" t="inlineStr">
        <is>
          <t>Capacity PD / sprint</t>
        </is>
      </c>
      <c r="G4" s="3" t="inlineStr">
        <is>
          <t>Remaining PD</t>
        </is>
      </c>
      <c r="H4" s="3" t="inlineStr">
        <is>
          <t>Check</t>
        </is>
      </c>
    </row>
    <row r="5" ht="31" customHeight="1">
      <c r="A5" s="11" t="n">
        <v>1</v>
      </c>
      <c r="B5" s="11" t="inlineStr">
        <is>
          <t>GD</t>
        </is>
      </c>
      <c r="C5" s="11" t="inlineStr">
        <is>
          <t>T01-GD</t>
        </is>
      </c>
      <c r="D5" s="11">
        <f>SUMIFS('13_WBS'!$J$5:$J$76,'13_WBS'!$E$5:$E$76,B5,'13_WBS'!$F$5:$F$76,A5)</f>
        <v>2.5</v>
      </c>
      <c r="E5" s="11">
        <f>SUMIFS('13_WBS'!$L$5:$L$76,'13_WBS'!$E$5:$E$76,B5,'13_WBS'!$F$5:$F$76,A5)</f>
        <v>3.0</v>
      </c>
      <c r="F5" s="11">
        <f>2*'00_START'!$B$8*'00_START'!$B$9/'00_START'!$B$12</f>
        <v>3.75</v>
      </c>
      <c r="G5" s="11">
        <f>F5-E5</f>
        <v>0.75</v>
      </c>
      <c r="H5" s="11" t="str">
        <f>IF(G5&lt;0,"OVERLOAD","OK")</f>
        <v>OK</v>
      </c>
    </row>
    <row r="6" ht="31" customHeight="1">
      <c r="A6" s="12" t="n">
        <v>1</v>
      </c>
      <c r="B6" s="12" t="inlineStr">
        <is>
          <t>CL</t>
        </is>
      </c>
      <c r="C6" s="12" t="inlineStr">
        <is>
          <t>T01-CL</t>
        </is>
      </c>
      <c r="D6" s="12">
        <f>SUMIFS('13_WBS'!$J$5:$J$76,'13_WBS'!$E$5:$E$76,B6,'13_WBS'!$F$5:$F$76,A6)</f>
        <v>3</v>
      </c>
      <c r="E6" s="12">
        <f>SUMIFS('13_WBS'!$L$5:$L$76,'13_WBS'!$E$5:$E$76,B6,'13_WBS'!$F$5:$F$76,A6)</f>
        <v>3.5999999999999996</v>
      </c>
      <c r="F6" s="12">
        <f>2*'00_START'!$B$8*'00_START'!$B$9/'00_START'!$B$12</f>
        <v>3.75</v>
      </c>
      <c r="G6" s="12">
        <f>F6-E6</f>
        <v>0.15000000000000036</v>
      </c>
      <c r="H6" s="12" t="str">
        <f>IF(G6&lt;0,"OVERLOAD","OK")</f>
        <v>OK</v>
      </c>
    </row>
    <row r="7" ht="31" customHeight="1">
      <c r="A7" s="11" t="n">
        <v>1</v>
      </c>
      <c r="B7" s="11" t="inlineStr">
        <is>
          <t>SV</t>
        </is>
      </c>
      <c r="C7" s="11" t="inlineStr">
        <is>
          <t>T01-SV</t>
        </is>
      </c>
      <c r="D7" s="11">
        <f>SUMIFS('13_WBS'!$J$5:$J$76,'13_WBS'!$E$5:$E$76,B7,'13_WBS'!$F$5:$F$76,A7)</f>
        <v>3</v>
      </c>
      <c r="E7" s="11">
        <f>SUMIFS('13_WBS'!$L$5:$L$76,'13_WBS'!$E$5:$E$76,B7,'13_WBS'!$F$5:$F$76,A7)</f>
        <v>3.5999999999999996</v>
      </c>
      <c r="F7" s="11">
        <f>2*'00_START'!$B$8*'00_START'!$B$9/'00_START'!$B$12</f>
        <v>3.75</v>
      </c>
      <c r="G7" s="11">
        <f>F7-E7</f>
        <v>0.15000000000000036</v>
      </c>
      <c r="H7" s="11" t="str">
        <f>IF(G7&lt;0,"OVERLOAD","OK")</f>
        <v>OK</v>
      </c>
    </row>
    <row r="8" ht="31" customHeight="1">
      <c r="A8" s="12" t="n">
        <v>1</v>
      </c>
      <c r="B8" s="12" t="inlineStr">
        <is>
          <t>AR</t>
        </is>
      </c>
      <c r="C8" s="12" t="inlineStr">
        <is>
          <t>T01-AR</t>
        </is>
      </c>
      <c r="D8" s="12">
        <f>SUMIFS('13_WBS'!$J$5:$J$76,'13_WBS'!$E$5:$E$76,B8,'13_WBS'!$F$5:$F$76,A8)</f>
        <v>2.5</v>
      </c>
      <c r="E8" s="12">
        <f>SUMIFS('13_WBS'!$L$5:$L$76,'13_WBS'!$E$5:$E$76,B8,'13_WBS'!$F$5:$F$76,A8)</f>
        <v>3.0</v>
      </c>
      <c r="F8" s="12">
        <f>2*'00_START'!$B$8*'00_START'!$B$9/'00_START'!$B$12</f>
        <v>3.75</v>
      </c>
      <c r="G8" s="12">
        <f>F8-E8</f>
        <v>0.75</v>
      </c>
      <c r="H8" s="12" t="str">
        <f>IF(G8&lt;0,"OVERLOAD","OK")</f>
        <v>OK</v>
      </c>
    </row>
    <row r="9" ht="31" customHeight="1">
      <c r="A9" s="11" t="n">
        <v>2</v>
      </c>
      <c r="B9" s="11" t="inlineStr">
        <is>
          <t>GD</t>
        </is>
      </c>
      <c r="C9" s="11" t="inlineStr">
        <is>
          <t>T02-GD</t>
        </is>
      </c>
      <c r="D9" s="11">
        <f>SUMIFS('13_WBS'!$J$5:$J$76,'13_WBS'!$E$5:$E$76,B9,'13_WBS'!$F$5:$F$76,A9)</f>
        <v>2.5</v>
      </c>
      <c r="E9" s="11">
        <f>SUMIFS('13_WBS'!$L$5:$L$76,'13_WBS'!$E$5:$E$76,B9,'13_WBS'!$F$5:$F$76,A9)</f>
        <v>3.0</v>
      </c>
      <c r="F9" s="11">
        <f>2*'00_START'!$B$8*'00_START'!$B$9/'00_START'!$B$12</f>
        <v>3.75</v>
      </c>
      <c r="G9" s="11">
        <f>F9-E9</f>
        <v>0.75</v>
      </c>
      <c r="H9" s="11" t="str">
        <f>IF(G9&lt;0,"OVERLOAD","OK")</f>
        <v>OK</v>
      </c>
    </row>
    <row r="10" ht="31" customHeight="1">
      <c r="A10" s="12" t="n">
        <v>2</v>
      </c>
      <c r="B10" s="12" t="inlineStr">
        <is>
          <t>CL</t>
        </is>
      </c>
      <c r="C10" s="12" t="inlineStr">
        <is>
          <t>T02-CL</t>
        </is>
      </c>
      <c r="D10" s="12">
        <f>SUMIFS('13_WBS'!$J$5:$J$76,'13_WBS'!$E$5:$E$76,B10,'13_WBS'!$F$5:$F$76,A10)</f>
        <v>3</v>
      </c>
      <c r="E10" s="12">
        <f>SUMIFS('13_WBS'!$L$5:$L$76,'13_WBS'!$E$5:$E$76,B10,'13_WBS'!$F$5:$F$76,A10)</f>
        <v>3.5999999999999996</v>
      </c>
      <c r="F10" s="12">
        <f>2*'00_START'!$B$8*'00_START'!$B$9/'00_START'!$B$12</f>
        <v>3.75</v>
      </c>
      <c r="G10" s="12">
        <f>F10-E10</f>
        <v>0.15000000000000036</v>
      </c>
      <c r="H10" s="12" t="str">
        <f>IF(G10&lt;0,"OVERLOAD","OK")</f>
        <v>OK</v>
      </c>
    </row>
    <row r="11" ht="31" customHeight="1">
      <c r="A11" s="11" t="n">
        <v>2</v>
      </c>
      <c r="B11" s="11" t="inlineStr">
        <is>
          <t>SV</t>
        </is>
      </c>
      <c r="C11" s="11" t="inlineStr">
        <is>
          <t>T02-SV</t>
        </is>
      </c>
      <c r="D11" s="11">
        <f>SUMIFS('13_WBS'!$J$5:$J$76,'13_WBS'!$E$5:$E$76,B11,'13_WBS'!$F$5:$F$76,A11)</f>
        <v>3</v>
      </c>
      <c r="E11" s="11">
        <f>SUMIFS('13_WBS'!$L$5:$L$76,'13_WBS'!$E$5:$E$76,B11,'13_WBS'!$F$5:$F$76,A11)</f>
        <v>3.5999999999999996</v>
      </c>
      <c r="F11" s="11">
        <f>2*'00_START'!$B$8*'00_START'!$B$9/'00_START'!$B$12</f>
        <v>3.75</v>
      </c>
      <c r="G11" s="11">
        <f>F11-E11</f>
        <v>0.15000000000000036</v>
      </c>
      <c r="H11" s="11" t="str">
        <f>IF(G11&lt;0,"OVERLOAD","OK")</f>
        <v>OK</v>
      </c>
    </row>
    <row r="12" ht="31" customHeight="1">
      <c r="A12" s="12" t="n">
        <v>2</v>
      </c>
      <c r="B12" s="12" t="inlineStr">
        <is>
          <t>AR</t>
        </is>
      </c>
      <c r="C12" s="12" t="inlineStr">
        <is>
          <t>T02-AR</t>
        </is>
      </c>
      <c r="D12" s="12">
        <f>SUMIFS('13_WBS'!$J$5:$J$76,'13_WBS'!$E$5:$E$76,B12,'13_WBS'!$F$5:$F$76,A12)</f>
        <v>2.5</v>
      </c>
      <c r="E12" s="12">
        <f>SUMIFS('13_WBS'!$L$5:$L$76,'13_WBS'!$E$5:$E$76,B12,'13_WBS'!$F$5:$F$76,A12)</f>
        <v>3.0</v>
      </c>
      <c r="F12" s="12">
        <f>2*'00_START'!$B$8*'00_START'!$B$9/'00_START'!$B$12</f>
        <v>3.75</v>
      </c>
      <c r="G12" s="12">
        <f>F12-E12</f>
        <v>0.75</v>
      </c>
      <c r="H12" s="12" t="str">
        <f>IF(G12&lt;0,"OVERLOAD","OK")</f>
        <v>OK</v>
      </c>
    </row>
    <row r="13" ht="31" customHeight="1">
      <c r="A13" s="11" t="n">
        <v>3</v>
      </c>
      <c r="B13" s="11" t="inlineStr">
        <is>
          <t>GD</t>
        </is>
      </c>
      <c r="C13" s="11" t="inlineStr">
        <is>
          <t>T03-GD</t>
        </is>
      </c>
      <c r="D13" s="11">
        <f>SUMIFS('13_WBS'!$J$5:$J$76,'13_WBS'!$E$5:$E$76,B13,'13_WBS'!$F$5:$F$76,A13)</f>
        <v>2</v>
      </c>
      <c r="E13" s="11">
        <f>SUMIFS('13_WBS'!$L$5:$L$76,'13_WBS'!$E$5:$E$76,B13,'13_WBS'!$F$5:$F$76,A13)</f>
        <v>2.4</v>
      </c>
      <c r="F13" s="11">
        <f>2*'00_START'!$B$8*'00_START'!$B$9/'00_START'!$B$12</f>
        <v>3.75</v>
      </c>
      <c r="G13" s="11">
        <f>F13-E13</f>
        <v>1.35</v>
      </c>
      <c r="H13" s="11" t="str">
        <f>IF(G13&lt;0,"OVERLOAD","OK")</f>
        <v>OK</v>
      </c>
    </row>
    <row r="14" ht="31" customHeight="1">
      <c r="A14" s="12" t="n">
        <v>3</v>
      </c>
      <c r="B14" s="12" t="inlineStr">
        <is>
          <t>CL</t>
        </is>
      </c>
      <c r="C14" s="12" t="inlineStr">
        <is>
          <t>T03-CL</t>
        </is>
      </c>
      <c r="D14" s="12">
        <f>SUMIFS('13_WBS'!$J$5:$J$76,'13_WBS'!$E$5:$E$76,B14,'13_WBS'!$F$5:$F$76,A14)</f>
        <v>3</v>
      </c>
      <c r="E14" s="12">
        <f>SUMIFS('13_WBS'!$L$5:$L$76,'13_WBS'!$E$5:$E$76,B14,'13_WBS'!$F$5:$F$76,A14)</f>
        <v>3.5999999999999996</v>
      </c>
      <c r="F14" s="12">
        <f>2*'00_START'!$B$8*'00_START'!$B$9/'00_START'!$B$12</f>
        <v>3.75</v>
      </c>
      <c r="G14" s="12">
        <f>F14-E14</f>
        <v>0.15000000000000036</v>
      </c>
      <c r="H14" s="12" t="str">
        <f>IF(G14&lt;0,"OVERLOAD","OK")</f>
        <v>OK</v>
      </c>
    </row>
    <row r="15" ht="31" customHeight="1">
      <c r="A15" s="11" t="n">
        <v>3</v>
      </c>
      <c r="B15" s="11" t="inlineStr">
        <is>
          <t>SV</t>
        </is>
      </c>
      <c r="C15" s="11" t="inlineStr">
        <is>
          <t>T03-SV</t>
        </is>
      </c>
      <c r="D15" s="11">
        <f>SUMIFS('13_WBS'!$J$5:$J$76,'13_WBS'!$E$5:$E$76,B15,'13_WBS'!$F$5:$F$76,A15)</f>
        <v>3</v>
      </c>
      <c r="E15" s="11">
        <f>SUMIFS('13_WBS'!$L$5:$L$76,'13_WBS'!$E$5:$E$76,B15,'13_WBS'!$F$5:$F$76,A15)</f>
        <v>3.5999999999999996</v>
      </c>
      <c r="F15" s="11">
        <f>2*'00_START'!$B$8*'00_START'!$B$9/'00_START'!$B$12</f>
        <v>3.75</v>
      </c>
      <c r="G15" s="11">
        <f>F15-E15</f>
        <v>0.15000000000000036</v>
      </c>
      <c r="H15" s="11" t="str">
        <f>IF(G15&lt;0,"OVERLOAD","OK")</f>
        <v>OK</v>
      </c>
    </row>
    <row r="16" ht="31" customHeight="1">
      <c r="A16" s="12" t="n">
        <v>3</v>
      </c>
      <c r="B16" s="12" t="inlineStr">
        <is>
          <t>AR</t>
        </is>
      </c>
      <c r="C16" s="12" t="inlineStr">
        <is>
          <t>T03-AR</t>
        </is>
      </c>
      <c r="D16" s="12">
        <f>SUMIFS('13_WBS'!$J$5:$J$76,'13_WBS'!$E$5:$E$76,B16,'13_WBS'!$F$5:$F$76,A16)</f>
        <v>2.5</v>
      </c>
      <c r="E16" s="12">
        <f>SUMIFS('13_WBS'!$L$5:$L$76,'13_WBS'!$E$5:$E$76,B16,'13_WBS'!$F$5:$F$76,A16)</f>
        <v>3.0</v>
      </c>
      <c r="F16" s="12">
        <f>2*'00_START'!$B$8*'00_START'!$B$9/'00_START'!$B$12</f>
        <v>3.75</v>
      </c>
      <c r="G16" s="12">
        <f>F16-E16</f>
        <v>0.75</v>
      </c>
      <c r="H16" s="12" t="str">
        <f>IF(G16&lt;0,"OVERLOAD","OK")</f>
        <v>OK</v>
      </c>
    </row>
    <row r="17" ht="31" customHeight="1">
      <c r="A17" s="11" t="n">
        <v>4</v>
      </c>
      <c r="B17" s="11" t="inlineStr">
        <is>
          <t>GD</t>
        </is>
      </c>
      <c r="C17" s="11" t="inlineStr">
        <is>
          <t>T04-GD</t>
        </is>
      </c>
      <c r="D17" s="11">
        <f>SUMIFS('13_WBS'!$J$5:$J$76,'13_WBS'!$E$5:$E$76,B17,'13_WBS'!$F$5:$F$76,A17)</f>
        <v>2.5</v>
      </c>
      <c r="E17" s="11">
        <f>SUMIFS('13_WBS'!$L$5:$L$76,'13_WBS'!$E$5:$E$76,B17,'13_WBS'!$F$5:$F$76,A17)</f>
        <v>3.0</v>
      </c>
      <c r="F17" s="11">
        <f>2*'00_START'!$B$8*'00_START'!$B$9/'00_START'!$B$12</f>
        <v>3.75</v>
      </c>
      <c r="G17" s="11">
        <f>F17-E17</f>
        <v>0.75</v>
      </c>
      <c r="H17" s="11" t="str">
        <f>IF(G17&lt;0,"OVERLOAD","OK")</f>
        <v>OK</v>
      </c>
    </row>
    <row r="18" ht="31" customHeight="1">
      <c r="A18" s="12" t="n">
        <v>4</v>
      </c>
      <c r="B18" s="12" t="inlineStr">
        <is>
          <t>CL</t>
        </is>
      </c>
      <c r="C18" s="12" t="inlineStr">
        <is>
          <t>T04-CL</t>
        </is>
      </c>
      <c r="D18" s="12">
        <f>SUMIFS('13_WBS'!$J$5:$J$76,'13_WBS'!$E$5:$E$76,B18,'13_WBS'!$F$5:$F$76,A18)</f>
        <v>3</v>
      </c>
      <c r="E18" s="12">
        <f>SUMIFS('13_WBS'!$L$5:$L$76,'13_WBS'!$E$5:$E$76,B18,'13_WBS'!$F$5:$F$76,A18)</f>
        <v>3.5999999999999996</v>
      </c>
      <c r="F18" s="12">
        <f>2*'00_START'!$B$8*'00_START'!$B$9/'00_START'!$B$12</f>
        <v>3.75</v>
      </c>
      <c r="G18" s="12">
        <f>F18-E18</f>
        <v>0.15000000000000036</v>
      </c>
      <c r="H18" s="12" t="str">
        <f>IF(G18&lt;0,"OVERLOAD","OK")</f>
        <v>OK</v>
      </c>
    </row>
    <row r="19" ht="31" customHeight="1">
      <c r="A19" s="11" t="n">
        <v>4</v>
      </c>
      <c r="B19" s="11" t="inlineStr">
        <is>
          <t>SV</t>
        </is>
      </c>
      <c r="C19" s="11" t="inlineStr">
        <is>
          <t>T04-SV</t>
        </is>
      </c>
      <c r="D19" s="11">
        <f>SUMIFS('13_WBS'!$J$5:$J$76,'13_WBS'!$E$5:$E$76,B19,'13_WBS'!$F$5:$F$76,A19)</f>
        <v>3</v>
      </c>
      <c r="E19" s="11">
        <f>SUMIFS('13_WBS'!$L$5:$L$76,'13_WBS'!$E$5:$E$76,B19,'13_WBS'!$F$5:$F$76,A19)</f>
        <v>3.5999999999999996</v>
      </c>
      <c r="F19" s="11">
        <f>2*'00_START'!$B$8*'00_START'!$B$9/'00_START'!$B$12</f>
        <v>3.75</v>
      </c>
      <c r="G19" s="11">
        <f>F19-E19</f>
        <v>0.15000000000000036</v>
      </c>
      <c r="H19" s="11" t="str">
        <f>IF(G19&lt;0,"OVERLOAD","OK")</f>
        <v>OK</v>
      </c>
    </row>
    <row r="20" ht="31" customHeight="1">
      <c r="A20" s="12" t="n">
        <v>4</v>
      </c>
      <c r="B20" s="12" t="inlineStr">
        <is>
          <t>AR</t>
        </is>
      </c>
      <c r="C20" s="12" t="inlineStr">
        <is>
          <t>T04-AR</t>
        </is>
      </c>
      <c r="D20" s="12">
        <f>SUMIFS('13_WBS'!$J$5:$J$76,'13_WBS'!$E$5:$E$76,B20,'13_WBS'!$F$5:$F$76,A20)</f>
        <v>2.5</v>
      </c>
      <c r="E20" s="12">
        <f>SUMIFS('13_WBS'!$L$5:$L$76,'13_WBS'!$E$5:$E$76,B20,'13_WBS'!$F$5:$F$76,A20)</f>
        <v>3.0</v>
      </c>
      <c r="F20" s="12">
        <f>2*'00_START'!$B$8*'00_START'!$B$9/'00_START'!$B$12</f>
        <v>3.75</v>
      </c>
      <c r="G20" s="12">
        <f>F20-E20</f>
        <v>0.75</v>
      </c>
      <c r="H20" s="12" t="str">
        <f>IF(G20&lt;0,"OVERLOAD","OK")</f>
        <v>OK</v>
      </c>
    </row>
    <row r="21" ht="31" customHeight="1">
      <c r="A21" s="11" t="n">
        <v>5</v>
      </c>
      <c r="B21" s="11" t="inlineStr">
        <is>
          <t>GD</t>
        </is>
      </c>
      <c r="C21" s="11" t="inlineStr">
        <is>
          <t>T05-GD</t>
        </is>
      </c>
      <c r="D21" s="11">
        <f>SUMIFS('13_WBS'!$J$5:$J$76,'13_WBS'!$E$5:$E$76,B21,'13_WBS'!$F$5:$F$76,A21)</f>
        <v>2.5</v>
      </c>
      <c r="E21" s="11">
        <f>SUMIFS('13_WBS'!$L$5:$L$76,'13_WBS'!$E$5:$E$76,B21,'13_WBS'!$F$5:$F$76,A21)</f>
        <v>3.0</v>
      </c>
      <c r="F21" s="11">
        <f>2*'00_START'!$B$8*'00_START'!$B$9/'00_START'!$B$12</f>
        <v>3.75</v>
      </c>
      <c r="G21" s="11">
        <f>F21-E21</f>
        <v>0.75</v>
      </c>
      <c r="H21" s="11" t="str">
        <f>IF(G21&lt;0,"OVERLOAD","OK")</f>
        <v>OK</v>
      </c>
    </row>
    <row r="22" ht="31" customHeight="1">
      <c r="A22" s="12" t="n">
        <v>5</v>
      </c>
      <c r="B22" s="12" t="inlineStr">
        <is>
          <t>CL</t>
        </is>
      </c>
      <c r="C22" s="12" t="inlineStr">
        <is>
          <t>T05-CL</t>
        </is>
      </c>
      <c r="D22" s="12">
        <f>SUMIFS('13_WBS'!$J$5:$J$76,'13_WBS'!$E$5:$E$76,B22,'13_WBS'!$F$5:$F$76,A22)</f>
        <v>3</v>
      </c>
      <c r="E22" s="12">
        <f>SUMIFS('13_WBS'!$L$5:$L$76,'13_WBS'!$E$5:$E$76,B22,'13_WBS'!$F$5:$F$76,A22)</f>
        <v>3.5999999999999996</v>
      </c>
      <c r="F22" s="12">
        <f>2*'00_START'!$B$8*'00_START'!$B$9/'00_START'!$B$12</f>
        <v>3.75</v>
      </c>
      <c r="G22" s="12">
        <f>F22-E22</f>
        <v>0.15000000000000036</v>
      </c>
      <c r="H22" s="12" t="str">
        <f>IF(G22&lt;0,"OVERLOAD","OK")</f>
        <v>OK</v>
      </c>
    </row>
    <row r="23" ht="31" customHeight="1">
      <c r="A23" s="11" t="n">
        <v>5</v>
      </c>
      <c r="B23" s="11" t="inlineStr">
        <is>
          <t>SV</t>
        </is>
      </c>
      <c r="C23" s="11" t="inlineStr">
        <is>
          <t>T05-SV</t>
        </is>
      </c>
      <c r="D23" s="11">
        <f>SUMIFS('13_WBS'!$J$5:$J$76,'13_WBS'!$E$5:$E$76,B23,'13_WBS'!$F$5:$F$76,A23)</f>
        <v>3</v>
      </c>
      <c r="E23" s="11">
        <f>SUMIFS('13_WBS'!$L$5:$L$76,'13_WBS'!$E$5:$E$76,B23,'13_WBS'!$F$5:$F$76,A23)</f>
        <v>3.5999999999999996</v>
      </c>
      <c r="F23" s="11">
        <f>2*'00_START'!$B$8*'00_START'!$B$9/'00_START'!$B$12</f>
        <v>3.75</v>
      </c>
      <c r="G23" s="11">
        <f>F23-E23</f>
        <v>0.15000000000000036</v>
      </c>
      <c r="H23" s="11" t="str">
        <f>IF(G23&lt;0,"OVERLOAD","OK")</f>
        <v>OK</v>
      </c>
    </row>
    <row r="24" ht="31" customHeight="1">
      <c r="A24" s="12" t="n">
        <v>5</v>
      </c>
      <c r="B24" s="12" t="inlineStr">
        <is>
          <t>AR</t>
        </is>
      </c>
      <c r="C24" s="12" t="inlineStr">
        <is>
          <t>T05-AR</t>
        </is>
      </c>
      <c r="D24" s="12">
        <f>SUMIFS('13_WBS'!$J$5:$J$76,'13_WBS'!$E$5:$E$76,B24,'13_WBS'!$F$5:$F$76,A24)</f>
        <v>2.5</v>
      </c>
      <c r="E24" s="12">
        <f>SUMIFS('13_WBS'!$L$5:$L$76,'13_WBS'!$E$5:$E$76,B24,'13_WBS'!$F$5:$F$76,A24)</f>
        <v>3.0</v>
      </c>
      <c r="F24" s="12">
        <f>2*'00_START'!$B$8*'00_START'!$B$9/'00_START'!$B$12</f>
        <v>3.75</v>
      </c>
      <c r="G24" s="12">
        <f>F24-E24</f>
        <v>0.75</v>
      </c>
      <c r="H24" s="12" t="str">
        <f>IF(G24&lt;0,"OVERLOAD","OK")</f>
        <v>OK</v>
      </c>
    </row>
    <row r="25" ht="31" customHeight="1">
      <c r="A25" s="11" t="n">
        <v>6</v>
      </c>
      <c r="B25" s="11" t="inlineStr">
        <is>
          <t>GD</t>
        </is>
      </c>
      <c r="C25" s="11" t="inlineStr">
        <is>
          <t>T06-GD</t>
        </is>
      </c>
      <c r="D25" s="11">
        <f>SUMIFS('13_WBS'!$J$5:$J$76,'13_WBS'!$E$5:$E$76,B25,'13_WBS'!$F$5:$F$76,A25)</f>
        <v>2.5</v>
      </c>
      <c r="E25" s="11">
        <f>SUMIFS('13_WBS'!$L$5:$L$76,'13_WBS'!$E$5:$E$76,B25,'13_WBS'!$F$5:$F$76,A25)</f>
        <v>3.0</v>
      </c>
      <c r="F25" s="11">
        <f>2*'00_START'!$B$8*'00_START'!$B$9/'00_START'!$B$12</f>
        <v>3.75</v>
      </c>
      <c r="G25" s="11">
        <f>F25-E25</f>
        <v>0.75</v>
      </c>
      <c r="H25" s="11" t="str">
        <f>IF(G25&lt;0,"OVERLOAD","OK")</f>
        <v>OK</v>
      </c>
    </row>
    <row r="26" ht="31" customHeight="1">
      <c r="A26" s="12" t="n">
        <v>6</v>
      </c>
      <c r="B26" s="12" t="inlineStr">
        <is>
          <t>CL</t>
        </is>
      </c>
      <c r="C26" s="12" t="inlineStr">
        <is>
          <t>T06-CL</t>
        </is>
      </c>
      <c r="D26" s="12">
        <f>SUMIFS('13_WBS'!$J$5:$J$76,'13_WBS'!$E$5:$E$76,B26,'13_WBS'!$F$5:$F$76,A26)</f>
        <v>3</v>
      </c>
      <c r="E26" s="12">
        <f>SUMIFS('13_WBS'!$L$5:$L$76,'13_WBS'!$E$5:$E$76,B26,'13_WBS'!$F$5:$F$76,A26)</f>
        <v>3.5999999999999996</v>
      </c>
      <c r="F26" s="12">
        <f>2*'00_START'!$B$8*'00_START'!$B$9/'00_START'!$B$12</f>
        <v>3.75</v>
      </c>
      <c r="G26" s="12">
        <f>F26-E26</f>
        <v>0.15000000000000036</v>
      </c>
      <c r="H26" s="12" t="str">
        <f>IF(G26&lt;0,"OVERLOAD","OK")</f>
        <v>OK</v>
      </c>
    </row>
    <row r="27" ht="31" customHeight="1">
      <c r="A27" s="11" t="n">
        <v>6</v>
      </c>
      <c r="B27" s="11" t="inlineStr">
        <is>
          <t>SV</t>
        </is>
      </c>
      <c r="C27" s="11" t="inlineStr">
        <is>
          <t>T06-SV</t>
        </is>
      </c>
      <c r="D27" s="11">
        <f>SUMIFS('13_WBS'!$J$5:$J$76,'13_WBS'!$E$5:$E$76,B27,'13_WBS'!$F$5:$F$76,A27)</f>
        <v>3</v>
      </c>
      <c r="E27" s="11">
        <f>SUMIFS('13_WBS'!$L$5:$L$76,'13_WBS'!$E$5:$E$76,B27,'13_WBS'!$F$5:$F$76,A27)</f>
        <v>3.5999999999999996</v>
      </c>
      <c r="F27" s="11">
        <f>2*'00_START'!$B$8*'00_START'!$B$9/'00_START'!$B$12</f>
        <v>3.75</v>
      </c>
      <c r="G27" s="11">
        <f>F27-E27</f>
        <v>0.15000000000000036</v>
      </c>
      <c r="H27" s="11" t="str">
        <f>IF(G27&lt;0,"OVERLOAD","OK")</f>
        <v>OK</v>
      </c>
    </row>
    <row r="28" ht="31" customHeight="1">
      <c r="A28" s="12" t="n">
        <v>6</v>
      </c>
      <c r="B28" s="12" t="inlineStr">
        <is>
          <t>AR</t>
        </is>
      </c>
      <c r="C28" s="12" t="inlineStr">
        <is>
          <t>T06-AR</t>
        </is>
      </c>
      <c r="D28" s="12">
        <f>SUMIFS('13_WBS'!$J$5:$J$76,'13_WBS'!$E$5:$E$76,B28,'13_WBS'!$F$5:$F$76,A28)</f>
        <v>3</v>
      </c>
      <c r="E28" s="12">
        <f>SUMIFS('13_WBS'!$L$5:$L$76,'13_WBS'!$E$5:$E$76,B28,'13_WBS'!$F$5:$F$76,A28)</f>
        <v>3.5999999999999996</v>
      </c>
      <c r="F28" s="12">
        <f>2*'00_START'!$B$8*'00_START'!$B$9/'00_START'!$B$12</f>
        <v>3.75</v>
      </c>
      <c r="G28" s="12">
        <f>F28-E28</f>
        <v>0.15000000000000036</v>
      </c>
      <c r="H28" s="12" t="str">
        <f>IF(G28&lt;0,"OVERLOAD","OK")</f>
        <v>OK</v>
      </c>
    </row>
    <row r="29" ht="31" customHeight="1">
      <c r="A29" s="11" t="n">
        <v>7</v>
      </c>
      <c r="B29" s="11" t="inlineStr">
        <is>
          <t>GD</t>
        </is>
      </c>
      <c r="C29" s="11" t="inlineStr">
        <is>
          <t>T07-GD</t>
        </is>
      </c>
      <c r="D29" s="11">
        <f>SUMIFS('13_WBS'!$J$5:$J$76,'13_WBS'!$E$5:$E$76,B29,'13_WBS'!$F$5:$F$76,A29)</f>
        <v>2.5</v>
      </c>
      <c r="E29" s="11">
        <f>SUMIFS('13_WBS'!$L$5:$L$76,'13_WBS'!$E$5:$E$76,B29,'13_WBS'!$F$5:$F$76,A29)</f>
        <v>3.0</v>
      </c>
      <c r="F29" s="11">
        <f>2*'00_START'!$B$8*'00_START'!$B$9/'00_START'!$B$12</f>
        <v>3.75</v>
      </c>
      <c r="G29" s="11">
        <f>F29-E29</f>
        <v>0.75</v>
      </c>
      <c r="H29" s="11" t="str">
        <f>IF(G29&lt;0,"OVERLOAD","OK")</f>
        <v>OK</v>
      </c>
    </row>
    <row r="30" ht="31" customHeight="1">
      <c r="A30" s="12" t="n">
        <v>7</v>
      </c>
      <c r="B30" s="12" t="inlineStr">
        <is>
          <t>CL</t>
        </is>
      </c>
      <c r="C30" s="12" t="inlineStr">
        <is>
          <t>T07-CL</t>
        </is>
      </c>
      <c r="D30" s="12">
        <f>SUMIFS('13_WBS'!$J$5:$J$76,'13_WBS'!$E$5:$E$76,B30,'13_WBS'!$F$5:$F$76,A30)</f>
        <v>3</v>
      </c>
      <c r="E30" s="12">
        <f>SUMIFS('13_WBS'!$L$5:$L$76,'13_WBS'!$E$5:$E$76,B30,'13_WBS'!$F$5:$F$76,A30)</f>
        <v>3.5999999999999996</v>
      </c>
      <c r="F30" s="12">
        <f>2*'00_START'!$B$8*'00_START'!$B$9/'00_START'!$B$12</f>
        <v>3.75</v>
      </c>
      <c r="G30" s="12">
        <f>F30-E30</f>
        <v>0.15000000000000036</v>
      </c>
      <c r="H30" s="12" t="str">
        <f>IF(G30&lt;0,"OVERLOAD","OK")</f>
        <v>OK</v>
      </c>
    </row>
    <row r="31" ht="31" customHeight="1">
      <c r="A31" s="11" t="n">
        <v>7</v>
      </c>
      <c r="B31" s="11" t="inlineStr">
        <is>
          <t>SV</t>
        </is>
      </c>
      <c r="C31" s="11" t="inlineStr">
        <is>
          <t>T07-SV</t>
        </is>
      </c>
      <c r="D31" s="11">
        <f>SUMIFS('13_WBS'!$J$5:$J$76,'13_WBS'!$E$5:$E$76,B31,'13_WBS'!$F$5:$F$76,A31)</f>
        <v>3</v>
      </c>
      <c r="E31" s="11">
        <f>SUMIFS('13_WBS'!$L$5:$L$76,'13_WBS'!$E$5:$E$76,B31,'13_WBS'!$F$5:$F$76,A31)</f>
        <v>3.5999999999999996</v>
      </c>
      <c r="F31" s="11">
        <f>2*'00_START'!$B$8*'00_START'!$B$9/'00_START'!$B$12</f>
        <v>3.75</v>
      </c>
      <c r="G31" s="11">
        <f>F31-E31</f>
        <v>0.15000000000000036</v>
      </c>
      <c r="H31" s="11" t="str">
        <f>IF(G31&lt;0,"OVERLOAD","OK")</f>
        <v>OK</v>
      </c>
    </row>
    <row r="32" ht="31" customHeight="1">
      <c r="A32" s="12" t="n">
        <v>7</v>
      </c>
      <c r="B32" s="12" t="inlineStr">
        <is>
          <t>AR</t>
        </is>
      </c>
      <c r="C32" s="12" t="inlineStr">
        <is>
          <t>T07-AR</t>
        </is>
      </c>
      <c r="D32" s="12">
        <f>SUMIFS('13_WBS'!$J$5:$J$76,'13_WBS'!$E$5:$E$76,B32,'13_WBS'!$F$5:$F$76,A32)</f>
        <v>2.5</v>
      </c>
      <c r="E32" s="12">
        <f>SUMIFS('13_WBS'!$L$5:$L$76,'13_WBS'!$E$5:$E$76,B32,'13_WBS'!$F$5:$F$76,A32)</f>
        <v>3.0</v>
      </c>
      <c r="F32" s="12">
        <f>2*'00_START'!$B$8*'00_START'!$B$9/'00_START'!$B$12</f>
        <v>3.75</v>
      </c>
      <c r="G32" s="12">
        <f>F32-E32</f>
        <v>0.75</v>
      </c>
      <c r="H32" s="12" t="str">
        <f>IF(G32&lt;0,"OVERLOAD","OK")</f>
        <v>OK</v>
      </c>
    </row>
    <row r="33" ht="31" customHeight="1">
      <c r="A33" s="11" t="n">
        <v>8</v>
      </c>
      <c r="B33" s="11" t="inlineStr">
        <is>
          <t>GD</t>
        </is>
      </c>
      <c r="C33" s="11" t="inlineStr">
        <is>
          <t>T08-GD</t>
        </is>
      </c>
      <c r="D33" s="11">
        <f>SUMIFS('13_WBS'!$J$5:$J$76,'13_WBS'!$E$5:$E$76,B33,'13_WBS'!$F$5:$F$76,A33)</f>
        <v>2.5</v>
      </c>
      <c r="E33" s="11">
        <f>SUMIFS('13_WBS'!$L$5:$L$76,'13_WBS'!$E$5:$E$76,B33,'13_WBS'!$F$5:$F$76,A33)</f>
        <v>3.0</v>
      </c>
      <c r="F33" s="11">
        <f>2*'00_START'!$B$8*'00_START'!$B$9/'00_START'!$B$12</f>
        <v>3.75</v>
      </c>
      <c r="G33" s="11">
        <f>F33-E33</f>
        <v>0.75</v>
      </c>
      <c r="H33" s="11" t="str">
        <f>IF(G33&lt;0,"OVERLOAD","OK")</f>
        <v>OK</v>
      </c>
    </row>
    <row r="34" ht="31" customHeight="1">
      <c r="A34" s="12" t="n">
        <v>8</v>
      </c>
      <c r="B34" s="12" t="inlineStr">
        <is>
          <t>CL</t>
        </is>
      </c>
      <c r="C34" s="12" t="inlineStr">
        <is>
          <t>T08-CL</t>
        </is>
      </c>
      <c r="D34" s="12">
        <f>SUMIFS('13_WBS'!$J$5:$J$76,'13_WBS'!$E$5:$E$76,B34,'13_WBS'!$F$5:$F$76,A34)</f>
        <v>3</v>
      </c>
      <c r="E34" s="12">
        <f>SUMIFS('13_WBS'!$L$5:$L$76,'13_WBS'!$E$5:$E$76,B34,'13_WBS'!$F$5:$F$76,A34)</f>
        <v>3.5999999999999996</v>
      </c>
      <c r="F34" s="12">
        <f>2*'00_START'!$B$8*'00_START'!$B$9/'00_START'!$B$12</f>
        <v>3.75</v>
      </c>
      <c r="G34" s="12">
        <f>F34-E34</f>
        <v>0.15000000000000036</v>
      </c>
      <c r="H34" s="12" t="str">
        <f>IF(G34&lt;0,"OVERLOAD","OK")</f>
        <v>OK</v>
      </c>
    </row>
    <row r="35" ht="31" customHeight="1">
      <c r="A35" s="11" t="n">
        <v>8</v>
      </c>
      <c r="B35" s="11" t="inlineStr">
        <is>
          <t>SV</t>
        </is>
      </c>
      <c r="C35" s="11" t="inlineStr">
        <is>
          <t>T08-SV</t>
        </is>
      </c>
      <c r="D35" s="11">
        <f>SUMIFS('13_WBS'!$J$5:$J$76,'13_WBS'!$E$5:$E$76,B35,'13_WBS'!$F$5:$F$76,A35)</f>
        <v>3</v>
      </c>
      <c r="E35" s="11">
        <f>SUMIFS('13_WBS'!$L$5:$L$76,'13_WBS'!$E$5:$E$76,B35,'13_WBS'!$F$5:$F$76,A35)</f>
        <v>3.5999999999999996</v>
      </c>
      <c r="F35" s="11">
        <f>2*'00_START'!$B$8*'00_START'!$B$9/'00_START'!$B$12</f>
        <v>3.75</v>
      </c>
      <c r="G35" s="11">
        <f>F35-E35</f>
        <v>0.15000000000000036</v>
      </c>
      <c r="H35" s="11" t="str">
        <f>IF(G35&lt;0,"OVERLOAD","OK")</f>
        <v>OK</v>
      </c>
    </row>
    <row r="36" ht="31" customHeight="1">
      <c r="A36" s="12" t="n">
        <v>8</v>
      </c>
      <c r="B36" s="12" t="inlineStr">
        <is>
          <t>AR</t>
        </is>
      </c>
      <c r="C36" s="12" t="inlineStr">
        <is>
          <t>T08-AR</t>
        </is>
      </c>
      <c r="D36" s="12">
        <f>SUMIFS('13_WBS'!$J$5:$J$76,'13_WBS'!$E$5:$E$76,B36,'13_WBS'!$F$5:$F$76,A36)</f>
        <v>2</v>
      </c>
      <c r="E36" s="12">
        <f>SUMIFS('13_WBS'!$L$5:$L$76,'13_WBS'!$E$5:$E$76,B36,'13_WBS'!$F$5:$F$76,A36)</f>
        <v>2.4</v>
      </c>
      <c r="F36" s="12">
        <f>2*'00_START'!$B$8*'00_START'!$B$9/'00_START'!$B$12</f>
        <v>3.75</v>
      </c>
      <c r="G36" s="12">
        <f>F36-E36</f>
        <v>1.35</v>
      </c>
      <c r="H36" s="12" t="str">
        <f>IF(G36&lt;0,"OVERLOAD","OK")</f>
        <v>OK</v>
      </c>
    </row>
    <row r="37" ht="31" customHeight="1">
      <c r="A37" s="11" t="n">
        <v>9</v>
      </c>
      <c r="B37" s="11" t="inlineStr">
        <is>
          <t>GD</t>
        </is>
      </c>
      <c r="C37" s="11" t="inlineStr">
        <is>
          <t>T09-GD</t>
        </is>
      </c>
      <c r="D37" s="11">
        <f>SUMIFS('13_WBS'!$J$5:$J$76,'13_WBS'!$E$5:$E$76,B37,'13_WBS'!$F$5:$F$76,A37)</f>
        <v>2.5</v>
      </c>
      <c r="E37" s="11">
        <f>SUMIFS('13_WBS'!$L$5:$L$76,'13_WBS'!$E$5:$E$76,B37,'13_WBS'!$F$5:$F$76,A37)</f>
        <v>3.0</v>
      </c>
      <c r="F37" s="11">
        <f>2*'00_START'!$B$8*'00_START'!$B$9/'00_START'!$B$12</f>
        <v>3.75</v>
      </c>
      <c r="G37" s="11">
        <f>F37-E37</f>
        <v>0.75</v>
      </c>
      <c r="H37" s="11" t="str">
        <f>IF(G37&lt;0,"OVERLOAD","OK")</f>
        <v>OK</v>
      </c>
    </row>
    <row r="38" ht="31" customHeight="1">
      <c r="A38" s="12" t="n">
        <v>9</v>
      </c>
      <c r="B38" s="12" t="inlineStr">
        <is>
          <t>CL</t>
        </is>
      </c>
      <c r="C38" s="12" t="inlineStr">
        <is>
          <t>T09-CL</t>
        </is>
      </c>
      <c r="D38" s="12">
        <f>SUMIFS('13_WBS'!$J$5:$J$76,'13_WBS'!$E$5:$E$76,B38,'13_WBS'!$F$5:$F$76,A38)</f>
        <v>3</v>
      </c>
      <c r="E38" s="12">
        <f>SUMIFS('13_WBS'!$L$5:$L$76,'13_WBS'!$E$5:$E$76,B38,'13_WBS'!$F$5:$F$76,A38)</f>
        <v>3.5999999999999996</v>
      </c>
      <c r="F38" s="12">
        <f>2*'00_START'!$B$8*'00_START'!$B$9/'00_START'!$B$12</f>
        <v>3.75</v>
      </c>
      <c r="G38" s="12">
        <f>F38-E38</f>
        <v>0.15000000000000036</v>
      </c>
      <c r="H38" s="12" t="str">
        <f>IF(G38&lt;0,"OVERLOAD","OK")</f>
        <v>OK</v>
      </c>
    </row>
    <row r="39" ht="31" customHeight="1">
      <c r="A39" s="11" t="n">
        <v>9</v>
      </c>
      <c r="B39" s="11" t="inlineStr">
        <is>
          <t>SV</t>
        </is>
      </c>
      <c r="C39" s="11" t="inlineStr">
        <is>
          <t>T09-SV</t>
        </is>
      </c>
      <c r="D39" s="11">
        <f>SUMIFS('13_WBS'!$J$5:$J$76,'13_WBS'!$E$5:$E$76,B39,'13_WBS'!$F$5:$F$76,A39)</f>
        <v>3</v>
      </c>
      <c r="E39" s="11">
        <f>SUMIFS('13_WBS'!$L$5:$L$76,'13_WBS'!$E$5:$E$76,B39,'13_WBS'!$F$5:$F$76,A39)</f>
        <v>3.5999999999999996</v>
      </c>
      <c r="F39" s="11">
        <f>2*'00_START'!$B$8*'00_START'!$B$9/'00_START'!$B$12</f>
        <v>3.75</v>
      </c>
      <c r="G39" s="11">
        <f>F39-E39</f>
        <v>0.15000000000000036</v>
      </c>
      <c r="H39" s="11" t="str">
        <f>IF(G39&lt;0,"OVERLOAD","OK")</f>
        <v>OK</v>
      </c>
    </row>
    <row r="40" ht="31" customHeight="1">
      <c r="A40" s="12" t="n">
        <v>9</v>
      </c>
      <c r="B40" s="12" t="inlineStr">
        <is>
          <t>AR</t>
        </is>
      </c>
      <c r="C40" s="12" t="inlineStr">
        <is>
          <t>T09-AR</t>
        </is>
      </c>
      <c r="D40" s="12">
        <f>SUMIFS('13_WBS'!$J$5:$J$76,'13_WBS'!$E$5:$E$76,B40,'13_WBS'!$F$5:$F$76,A40)</f>
        <v>2</v>
      </c>
      <c r="E40" s="12">
        <f>SUMIFS('13_WBS'!$L$5:$L$76,'13_WBS'!$E$5:$E$76,B40,'13_WBS'!$F$5:$F$76,A40)</f>
        <v>2.4</v>
      </c>
      <c r="F40" s="12">
        <f>2*'00_START'!$B$8*'00_START'!$B$9/'00_START'!$B$12</f>
        <v>3.75</v>
      </c>
      <c r="G40" s="12">
        <f>F40-E40</f>
        <v>1.35</v>
      </c>
      <c r="H40" s="12" t="str">
        <f>IF(G40&lt;0,"OVERLOAD","OK")</f>
        <v>OK</v>
      </c>
    </row>
    <row r="41" ht="31" customHeight="1">
      <c r="A41" s="11" t="n">
        <v>10</v>
      </c>
      <c r="B41" s="11" t="inlineStr">
        <is>
          <t>GD</t>
        </is>
      </c>
      <c r="C41" s="11" t="inlineStr">
        <is>
          <t>T10-GD</t>
        </is>
      </c>
      <c r="D41" s="11">
        <f>SUMIFS('13_WBS'!$J$5:$J$76,'13_WBS'!$E$5:$E$76,B41,'13_WBS'!$F$5:$F$76,A41)</f>
        <v>2.5</v>
      </c>
      <c r="E41" s="11">
        <f>SUMIFS('13_WBS'!$L$5:$L$76,'13_WBS'!$E$5:$E$76,B41,'13_WBS'!$F$5:$F$76,A41)</f>
        <v>3.0</v>
      </c>
      <c r="F41" s="11">
        <f>2*'00_START'!$B$8*'00_START'!$B$9/'00_START'!$B$12</f>
        <v>3.75</v>
      </c>
      <c r="G41" s="11">
        <f>F41-E41</f>
        <v>0.75</v>
      </c>
      <c r="H41" s="11" t="str">
        <f>IF(G41&lt;0,"OVERLOAD","OK")</f>
        <v>OK</v>
      </c>
    </row>
    <row r="42" ht="31" customHeight="1">
      <c r="A42" s="12" t="n">
        <v>10</v>
      </c>
      <c r="B42" s="12" t="inlineStr">
        <is>
          <t>CL</t>
        </is>
      </c>
      <c r="C42" s="12" t="inlineStr">
        <is>
          <t>T10-CL</t>
        </is>
      </c>
      <c r="D42" s="12">
        <f>SUMIFS('13_WBS'!$J$5:$J$76,'13_WBS'!$E$5:$E$76,B42,'13_WBS'!$F$5:$F$76,A42)</f>
        <v>3</v>
      </c>
      <c r="E42" s="12">
        <f>SUMIFS('13_WBS'!$L$5:$L$76,'13_WBS'!$E$5:$E$76,B42,'13_WBS'!$F$5:$F$76,A42)</f>
        <v>3.5999999999999996</v>
      </c>
      <c r="F42" s="12">
        <f>2*'00_START'!$B$8*'00_START'!$B$9/'00_START'!$B$12</f>
        <v>3.75</v>
      </c>
      <c r="G42" s="12">
        <f>F42-E42</f>
        <v>0.15000000000000036</v>
      </c>
      <c r="H42" s="12" t="str">
        <f>IF(G42&lt;0,"OVERLOAD","OK")</f>
        <v>OK</v>
      </c>
    </row>
    <row r="43" ht="31" customHeight="1">
      <c r="A43" s="11" t="n">
        <v>10</v>
      </c>
      <c r="B43" s="11" t="inlineStr">
        <is>
          <t>SV</t>
        </is>
      </c>
      <c r="C43" s="11" t="inlineStr">
        <is>
          <t>T10-SV</t>
        </is>
      </c>
      <c r="D43" s="11">
        <f>SUMIFS('13_WBS'!$J$5:$J$76,'13_WBS'!$E$5:$E$76,B43,'13_WBS'!$F$5:$F$76,A43)</f>
        <v>3</v>
      </c>
      <c r="E43" s="11">
        <f>SUMIFS('13_WBS'!$L$5:$L$76,'13_WBS'!$E$5:$E$76,B43,'13_WBS'!$F$5:$F$76,A43)</f>
        <v>3.5999999999999996</v>
      </c>
      <c r="F43" s="11">
        <f>2*'00_START'!$B$8*'00_START'!$B$9/'00_START'!$B$12</f>
        <v>3.75</v>
      </c>
      <c r="G43" s="11">
        <f>F43-E43</f>
        <v>0.15000000000000036</v>
      </c>
      <c r="H43" s="11" t="str">
        <f>IF(G43&lt;0,"OVERLOAD","OK")</f>
        <v>OK</v>
      </c>
    </row>
    <row r="44" ht="31" customHeight="1">
      <c r="A44" s="12" t="n">
        <v>10</v>
      </c>
      <c r="B44" s="12" t="inlineStr">
        <is>
          <t>AR</t>
        </is>
      </c>
      <c r="C44" s="12" t="inlineStr">
        <is>
          <t>T10-AR</t>
        </is>
      </c>
      <c r="D44" s="12">
        <f>SUMIFS('13_WBS'!$J$5:$J$76,'13_WBS'!$E$5:$E$76,B44,'13_WBS'!$F$5:$F$76,A44)</f>
        <v>2.5</v>
      </c>
      <c r="E44" s="12">
        <f>SUMIFS('13_WBS'!$L$5:$L$76,'13_WBS'!$E$5:$E$76,B44,'13_WBS'!$F$5:$F$76,A44)</f>
        <v>3.0</v>
      </c>
      <c r="F44" s="12">
        <f>2*'00_START'!$B$8*'00_START'!$B$9/'00_START'!$B$12</f>
        <v>3.75</v>
      </c>
      <c r="G44" s="12">
        <f>F44-E44</f>
        <v>0.75</v>
      </c>
      <c r="H44" s="12" t="str">
        <f>IF(G44&lt;0,"OVERLOAD","OK")</f>
        <v>OK</v>
      </c>
    </row>
    <row r="45" ht="31" customHeight="1">
      <c r="A45" s="11" t="n">
        <v>11</v>
      </c>
      <c r="B45" s="11" t="inlineStr">
        <is>
          <t>GD</t>
        </is>
      </c>
      <c r="C45" s="11" t="inlineStr">
        <is>
          <t>T11-GD</t>
        </is>
      </c>
      <c r="D45" s="11">
        <f>SUMIFS('13_WBS'!$J$5:$J$76,'13_WBS'!$E$5:$E$76,B45,'13_WBS'!$F$5:$F$76,A45)</f>
        <v>3</v>
      </c>
      <c r="E45" s="11">
        <f>SUMIFS('13_WBS'!$L$5:$L$76,'13_WBS'!$E$5:$E$76,B45,'13_WBS'!$F$5:$F$76,A45)</f>
        <v>3.5999999999999996</v>
      </c>
      <c r="F45" s="11">
        <f>2*'00_START'!$B$8*'00_START'!$B$9/'00_START'!$B$12</f>
        <v>3.75</v>
      </c>
      <c r="G45" s="11">
        <f>F45-E45</f>
        <v>0.15000000000000036</v>
      </c>
      <c r="H45" s="11" t="str">
        <f>IF(G45&lt;0,"OVERLOAD","OK")</f>
        <v>OK</v>
      </c>
    </row>
    <row r="46" ht="31" customHeight="1">
      <c r="A46" s="12" t="n">
        <v>11</v>
      </c>
      <c r="B46" s="12" t="inlineStr">
        <is>
          <t>CL</t>
        </is>
      </c>
      <c r="C46" s="12" t="inlineStr">
        <is>
          <t>T11-CL</t>
        </is>
      </c>
      <c r="D46" s="12">
        <f>SUMIFS('13_WBS'!$J$5:$J$76,'13_WBS'!$E$5:$E$76,B46,'13_WBS'!$F$5:$F$76,A46)</f>
        <v>3</v>
      </c>
      <c r="E46" s="12">
        <f>SUMIFS('13_WBS'!$L$5:$L$76,'13_WBS'!$E$5:$E$76,B46,'13_WBS'!$F$5:$F$76,A46)</f>
        <v>3.5999999999999996</v>
      </c>
      <c r="F46" s="12">
        <f>2*'00_START'!$B$8*'00_START'!$B$9/'00_START'!$B$12</f>
        <v>3.75</v>
      </c>
      <c r="G46" s="12">
        <f>F46-E46</f>
        <v>0.15000000000000036</v>
      </c>
      <c r="H46" s="12" t="str">
        <f>IF(G46&lt;0,"OVERLOAD","OK")</f>
        <v>OK</v>
      </c>
    </row>
    <row r="47" ht="31" customHeight="1">
      <c r="A47" s="11" t="n">
        <v>11</v>
      </c>
      <c r="B47" s="11" t="inlineStr">
        <is>
          <t>SV</t>
        </is>
      </c>
      <c r="C47" s="11" t="inlineStr">
        <is>
          <t>T11-SV</t>
        </is>
      </c>
      <c r="D47" s="11">
        <f>SUMIFS('13_WBS'!$J$5:$J$76,'13_WBS'!$E$5:$E$76,B47,'13_WBS'!$F$5:$F$76,A47)</f>
        <v>3</v>
      </c>
      <c r="E47" s="11">
        <f>SUMIFS('13_WBS'!$L$5:$L$76,'13_WBS'!$E$5:$E$76,B47,'13_WBS'!$F$5:$F$76,A47)</f>
        <v>3.5999999999999996</v>
      </c>
      <c r="F47" s="11">
        <f>2*'00_START'!$B$8*'00_START'!$B$9/'00_START'!$B$12</f>
        <v>3.75</v>
      </c>
      <c r="G47" s="11">
        <f>F47-E47</f>
        <v>0.15000000000000036</v>
      </c>
      <c r="H47" s="11" t="str">
        <f>IF(G47&lt;0,"OVERLOAD","OK")</f>
        <v>OK</v>
      </c>
    </row>
    <row r="48" ht="31" customHeight="1">
      <c r="A48" s="12" t="n">
        <v>11</v>
      </c>
      <c r="B48" s="12" t="inlineStr">
        <is>
          <t>AR</t>
        </is>
      </c>
      <c r="C48" s="12" t="inlineStr">
        <is>
          <t>T11-AR</t>
        </is>
      </c>
      <c r="D48" s="12">
        <f>SUMIFS('13_WBS'!$J$5:$J$76,'13_WBS'!$E$5:$E$76,B48,'13_WBS'!$F$5:$F$76,A48)</f>
        <v>2.5</v>
      </c>
      <c r="E48" s="12">
        <f>SUMIFS('13_WBS'!$L$5:$L$76,'13_WBS'!$E$5:$E$76,B48,'13_WBS'!$F$5:$F$76,A48)</f>
        <v>3.0</v>
      </c>
      <c r="F48" s="12">
        <f>2*'00_START'!$B$8*'00_START'!$B$9/'00_START'!$B$12</f>
        <v>3.75</v>
      </c>
      <c r="G48" s="12">
        <f>F48-E48</f>
        <v>0.75</v>
      </c>
      <c r="H48" s="12" t="str">
        <f>IF(G48&lt;0,"OVERLOAD","OK")</f>
        <v>OK</v>
      </c>
    </row>
    <row r="49" ht="31" customHeight="1">
      <c r="A49" s="11" t="n">
        <v>12</v>
      </c>
      <c r="B49" s="11" t="inlineStr">
        <is>
          <t>GD</t>
        </is>
      </c>
      <c r="C49" s="11" t="inlineStr">
        <is>
          <t>T12-GD</t>
        </is>
      </c>
      <c r="D49" s="11">
        <f>SUMIFS('13_WBS'!$J$5:$J$76,'13_WBS'!$E$5:$E$76,B49,'13_WBS'!$F$5:$F$76,A49)</f>
        <v>3</v>
      </c>
      <c r="E49" s="11">
        <f>SUMIFS('13_WBS'!$L$5:$L$76,'13_WBS'!$E$5:$E$76,B49,'13_WBS'!$F$5:$F$76,A49)</f>
        <v>3.5999999999999996</v>
      </c>
      <c r="F49" s="11">
        <f>2*'00_START'!$B$8*'00_START'!$B$9/'00_START'!$B$12</f>
        <v>3.75</v>
      </c>
      <c r="G49" s="11">
        <f>F49-E49</f>
        <v>0.15000000000000036</v>
      </c>
      <c r="H49" s="11" t="str">
        <f>IF(G49&lt;0,"OVERLOAD","OK")</f>
        <v>OK</v>
      </c>
    </row>
    <row r="50" ht="31" customHeight="1">
      <c r="A50" s="12" t="n">
        <v>12</v>
      </c>
      <c r="B50" s="12" t="inlineStr">
        <is>
          <t>CL</t>
        </is>
      </c>
      <c r="C50" s="12" t="inlineStr">
        <is>
          <t>T12-CL</t>
        </is>
      </c>
      <c r="D50" s="12">
        <f>SUMIFS('13_WBS'!$J$5:$J$76,'13_WBS'!$E$5:$E$76,B50,'13_WBS'!$F$5:$F$76,A50)</f>
        <v>3</v>
      </c>
      <c r="E50" s="12">
        <f>SUMIFS('13_WBS'!$L$5:$L$76,'13_WBS'!$E$5:$E$76,B50,'13_WBS'!$F$5:$F$76,A50)</f>
        <v>3.5999999999999996</v>
      </c>
      <c r="F50" s="12">
        <f>2*'00_START'!$B$8*'00_START'!$B$9/'00_START'!$B$12</f>
        <v>3.75</v>
      </c>
      <c r="G50" s="12">
        <f>F50-E50</f>
        <v>0.15000000000000036</v>
      </c>
      <c r="H50" s="12" t="str">
        <f>IF(G50&lt;0,"OVERLOAD","OK")</f>
        <v>OK</v>
      </c>
    </row>
    <row r="51" ht="31" customHeight="1">
      <c r="A51" s="11" t="n">
        <v>12</v>
      </c>
      <c r="B51" s="11" t="inlineStr">
        <is>
          <t>SV</t>
        </is>
      </c>
      <c r="C51" s="11" t="inlineStr">
        <is>
          <t>T12-SV</t>
        </is>
      </c>
      <c r="D51" s="11">
        <f>SUMIFS('13_WBS'!$J$5:$J$76,'13_WBS'!$E$5:$E$76,B51,'13_WBS'!$F$5:$F$76,A51)</f>
        <v>3</v>
      </c>
      <c r="E51" s="11">
        <f>SUMIFS('13_WBS'!$L$5:$L$76,'13_WBS'!$E$5:$E$76,B51,'13_WBS'!$F$5:$F$76,A51)</f>
        <v>3.5999999999999996</v>
      </c>
      <c r="F51" s="11">
        <f>2*'00_START'!$B$8*'00_START'!$B$9/'00_START'!$B$12</f>
        <v>3.75</v>
      </c>
      <c r="G51" s="11">
        <f>F51-E51</f>
        <v>0.15000000000000036</v>
      </c>
      <c r="H51" s="11" t="str">
        <f>IF(G51&lt;0,"OVERLOAD","OK")</f>
        <v>OK</v>
      </c>
    </row>
    <row r="52" ht="31" customHeight="1">
      <c r="A52" s="12" t="n">
        <v>12</v>
      </c>
      <c r="B52" s="12" t="inlineStr">
        <is>
          <t>AR</t>
        </is>
      </c>
      <c r="C52" s="12" t="inlineStr">
        <is>
          <t>T12-AR</t>
        </is>
      </c>
      <c r="D52" s="12">
        <f>SUMIFS('13_WBS'!$J$5:$J$76,'13_WBS'!$E$5:$E$76,B52,'13_WBS'!$F$5:$F$76,A52)</f>
        <v>2.5</v>
      </c>
      <c r="E52" s="12">
        <f>SUMIFS('13_WBS'!$L$5:$L$76,'13_WBS'!$E$5:$E$76,B52,'13_WBS'!$F$5:$F$76,A52)</f>
        <v>3.0</v>
      </c>
      <c r="F52" s="12">
        <f>2*'00_START'!$B$8*'00_START'!$B$9/'00_START'!$B$12</f>
        <v>3.75</v>
      </c>
      <c r="G52" s="12">
        <f>F52-E52</f>
        <v>0.75</v>
      </c>
      <c r="H52" s="12" t="str">
        <f>IF(G52&lt;0,"OVERLOAD","OK")</f>
        <v>OK</v>
      </c>
    </row>
    <row r="53" ht="31" customHeight="1">
      <c r="A53" s="11" t="n">
        <v>13</v>
      </c>
      <c r="B53" s="11" t="inlineStr">
        <is>
          <t>GD</t>
        </is>
      </c>
      <c r="C53" s="11" t="inlineStr">
        <is>
          <t>T13-GD</t>
        </is>
      </c>
      <c r="D53" s="11">
        <f>SUMIFS('13_WBS'!$J$5:$J$76,'13_WBS'!$E$5:$E$76,B53,'13_WBS'!$F$5:$F$76,A53)</f>
        <v>2.5</v>
      </c>
      <c r="E53" s="11">
        <f>SUMIFS('13_WBS'!$L$5:$L$76,'13_WBS'!$E$5:$E$76,B53,'13_WBS'!$F$5:$F$76,A53)</f>
        <v>3.0</v>
      </c>
      <c r="F53" s="11">
        <f>2*'00_START'!$B$8*'00_START'!$B$9/'00_START'!$B$12</f>
        <v>3.75</v>
      </c>
      <c r="G53" s="11">
        <f>F53-E53</f>
        <v>0.75</v>
      </c>
      <c r="H53" s="11" t="str">
        <f>IF(G53&lt;0,"OVERLOAD","OK")</f>
        <v>OK</v>
      </c>
    </row>
    <row r="54" ht="31" customHeight="1">
      <c r="A54" s="12" t="n">
        <v>13</v>
      </c>
      <c r="B54" s="12" t="inlineStr">
        <is>
          <t>CL</t>
        </is>
      </c>
      <c r="C54" s="12" t="inlineStr">
        <is>
          <t>T13-CL</t>
        </is>
      </c>
      <c r="D54" s="12">
        <f>SUMIFS('13_WBS'!$J$5:$J$76,'13_WBS'!$E$5:$E$76,B54,'13_WBS'!$F$5:$F$76,A54)</f>
        <v>3</v>
      </c>
      <c r="E54" s="12">
        <f>SUMIFS('13_WBS'!$L$5:$L$76,'13_WBS'!$E$5:$E$76,B54,'13_WBS'!$F$5:$F$76,A54)</f>
        <v>3.5999999999999996</v>
      </c>
      <c r="F54" s="12">
        <f>2*'00_START'!$B$8*'00_START'!$B$9/'00_START'!$B$12</f>
        <v>3.75</v>
      </c>
      <c r="G54" s="12">
        <f>F54-E54</f>
        <v>0.15000000000000036</v>
      </c>
      <c r="H54" s="12" t="str">
        <f>IF(G54&lt;0,"OVERLOAD","OK")</f>
        <v>OK</v>
      </c>
    </row>
    <row r="55" ht="31" customHeight="1">
      <c r="A55" s="11" t="n">
        <v>13</v>
      </c>
      <c r="B55" s="11" t="inlineStr">
        <is>
          <t>SV</t>
        </is>
      </c>
      <c r="C55" s="11" t="inlineStr">
        <is>
          <t>T13-SV</t>
        </is>
      </c>
      <c r="D55" s="11">
        <f>SUMIFS('13_WBS'!$J$5:$J$76,'13_WBS'!$E$5:$E$76,B55,'13_WBS'!$F$5:$F$76,A55)</f>
        <v>3</v>
      </c>
      <c r="E55" s="11">
        <f>SUMIFS('13_WBS'!$L$5:$L$76,'13_WBS'!$E$5:$E$76,B55,'13_WBS'!$F$5:$F$76,A55)</f>
        <v>3.5999999999999996</v>
      </c>
      <c r="F55" s="11">
        <f>2*'00_START'!$B$8*'00_START'!$B$9/'00_START'!$B$12</f>
        <v>3.75</v>
      </c>
      <c r="G55" s="11">
        <f>F55-E55</f>
        <v>0.15000000000000036</v>
      </c>
      <c r="H55" s="11" t="str">
        <f>IF(G55&lt;0,"OVERLOAD","OK")</f>
        <v>OK</v>
      </c>
    </row>
    <row r="56" ht="31" customHeight="1">
      <c r="A56" s="12" t="n">
        <v>13</v>
      </c>
      <c r="B56" s="12" t="inlineStr">
        <is>
          <t>AR</t>
        </is>
      </c>
      <c r="C56" s="12" t="inlineStr">
        <is>
          <t>T13-AR</t>
        </is>
      </c>
      <c r="D56" s="12">
        <f>SUMIFS('13_WBS'!$J$5:$J$76,'13_WBS'!$E$5:$E$76,B56,'13_WBS'!$F$5:$F$76,A56)</f>
        <v>3</v>
      </c>
      <c r="E56" s="12">
        <f>SUMIFS('13_WBS'!$L$5:$L$76,'13_WBS'!$E$5:$E$76,B56,'13_WBS'!$F$5:$F$76,A56)</f>
        <v>3.5999999999999996</v>
      </c>
      <c r="F56" s="12">
        <f>2*'00_START'!$B$8*'00_START'!$B$9/'00_START'!$B$12</f>
        <v>3.75</v>
      </c>
      <c r="G56" s="12">
        <f>F56-E56</f>
        <v>0.15000000000000036</v>
      </c>
      <c r="H56" s="12" t="str">
        <f>IF(G56&lt;0,"OVERLOAD","OK")</f>
        <v>OK</v>
      </c>
    </row>
    <row r="57" ht="31" customHeight="1">
      <c r="A57" s="11" t="n">
        <v>14</v>
      </c>
      <c r="B57" s="11" t="inlineStr">
        <is>
          <t>GD</t>
        </is>
      </c>
      <c r="C57" s="11" t="inlineStr">
        <is>
          <t>T14-GD</t>
        </is>
      </c>
      <c r="D57" s="11">
        <f>SUMIFS('13_WBS'!$J$5:$J$76,'13_WBS'!$E$5:$E$76,B57,'13_WBS'!$F$5:$F$76,A57)</f>
        <v>2.5</v>
      </c>
      <c r="E57" s="11">
        <f>SUMIFS('13_WBS'!$L$5:$L$76,'13_WBS'!$E$5:$E$76,B57,'13_WBS'!$F$5:$F$76,A57)</f>
        <v>3.0</v>
      </c>
      <c r="F57" s="11">
        <f>2*'00_START'!$B$8*'00_START'!$B$9/'00_START'!$B$12</f>
        <v>3.75</v>
      </c>
      <c r="G57" s="11">
        <f>F57-E57</f>
        <v>0.75</v>
      </c>
      <c r="H57" s="11" t="str">
        <f>IF(G57&lt;0,"OVERLOAD","OK")</f>
        <v>OK</v>
      </c>
    </row>
    <row r="58" ht="31" customHeight="1">
      <c r="A58" s="12" t="n">
        <v>14</v>
      </c>
      <c r="B58" s="12" t="inlineStr">
        <is>
          <t>CL</t>
        </is>
      </c>
      <c r="C58" s="12" t="inlineStr">
        <is>
          <t>T14-CL</t>
        </is>
      </c>
      <c r="D58" s="12">
        <f>SUMIFS('13_WBS'!$J$5:$J$76,'13_WBS'!$E$5:$E$76,B58,'13_WBS'!$F$5:$F$76,A58)</f>
        <v>3</v>
      </c>
      <c r="E58" s="12">
        <f>SUMIFS('13_WBS'!$L$5:$L$76,'13_WBS'!$E$5:$E$76,B58,'13_WBS'!$F$5:$F$76,A58)</f>
        <v>3.5999999999999996</v>
      </c>
      <c r="F58" s="12">
        <f>2*'00_START'!$B$8*'00_START'!$B$9/'00_START'!$B$12</f>
        <v>3.75</v>
      </c>
      <c r="G58" s="12">
        <f>F58-E58</f>
        <v>0.15000000000000036</v>
      </c>
      <c r="H58" s="12" t="str">
        <f>IF(G58&lt;0,"OVERLOAD","OK")</f>
        <v>OK</v>
      </c>
    </row>
    <row r="59" ht="31" customHeight="1">
      <c r="A59" s="11" t="n">
        <v>14</v>
      </c>
      <c r="B59" s="11" t="inlineStr">
        <is>
          <t>SV</t>
        </is>
      </c>
      <c r="C59" s="11" t="inlineStr">
        <is>
          <t>T14-SV</t>
        </is>
      </c>
      <c r="D59" s="11">
        <f>SUMIFS('13_WBS'!$J$5:$J$76,'13_WBS'!$E$5:$E$76,B59,'13_WBS'!$F$5:$F$76,A59)</f>
        <v>3</v>
      </c>
      <c r="E59" s="11">
        <f>SUMIFS('13_WBS'!$L$5:$L$76,'13_WBS'!$E$5:$E$76,B59,'13_WBS'!$F$5:$F$76,A59)</f>
        <v>3.5999999999999996</v>
      </c>
      <c r="F59" s="11">
        <f>2*'00_START'!$B$8*'00_START'!$B$9/'00_START'!$B$12</f>
        <v>3.75</v>
      </c>
      <c r="G59" s="11">
        <f>F59-E59</f>
        <v>0.15000000000000036</v>
      </c>
      <c r="H59" s="11" t="str">
        <f>IF(G59&lt;0,"OVERLOAD","OK")</f>
        <v>OK</v>
      </c>
    </row>
    <row r="60" ht="31" customHeight="1">
      <c r="A60" s="12" t="n">
        <v>14</v>
      </c>
      <c r="B60" s="12" t="inlineStr">
        <is>
          <t>AR</t>
        </is>
      </c>
      <c r="C60" s="12" t="inlineStr">
        <is>
          <t>T14-AR</t>
        </is>
      </c>
      <c r="D60" s="12">
        <f>SUMIFS('13_WBS'!$J$5:$J$76,'13_WBS'!$E$5:$E$76,B60,'13_WBS'!$F$5:$F$76,A60)</f>
        <v>2.5</v>
      </c>
      <c r="E60" s="12">
        <f>SUMIFS('13_WBS'!$L$5:$L$76,'13_WBS'!$E$5:$E$76,B60,'13_WBS'!$F$5:$F$76,A60)</f>
        <v>3.0</v>
      </c>
      <c r="F60" s="12">
        <f>2*'00_START'!$B$8*'00_START'!$B$9/'00_START'!$B$12</f>
        <v>3.75</v>
      </c>
      <c r="G60" s="12">
        <f>F60-E60</f>
        <v>0.75</v>
      </c>
      <c r="H60" s="12" t="str">
        <f>IF(G60&lt;0,"OVERLOAD","OK")</f>
        <v>OK</v>
      </c>
    </row>
    <row r="61" ht="31" customHeight="1">
      <c r="A61" s="11" t="n">
        <v>15</v>
      </c>
      <c r="B61" s="11" t="inlineStr">
        <is>
          <t>GD</t>
        </is>
      </c>
      <c r="C61" s="11" t="inlineStr">
        <is>
          <t>T15-GD</t>
        </is>
      </c>
      <c r="D61" s="11">
        <f>SUMIFS('13_WBS'!$J$5:$J$76,'13_WBS'!$E$5:$E$76,B61,'13_WBS'!$F$5:$F$76,A61)</f>
        <v>2.5</v>
      </c>
      <c r="E61" s="11">
        <f>SUMIFS('13_WBS'!$L$5:$L$76,'13_WBS'!$E$5:$E$76,B61,'13_WBS'!$F$5:$F$76,A61)</f>
        <v>3.0</v>
      </c>
      <c r="F61" s="11">
        <f>2*'00_START'!$B$8*'00_START'!$B$9/'00_START'!$B$12</f>
        <v>3.75</v>
      </c>
      <c r="G61" s="11">
        <f>F61-E61</f>
        <v>0.75</v>
      </c>
      <c r="H61" s="11" t="str">
        <f>IF(G61&lt;0,"OVERLOAD","OK")</f>
        <v>OK</v>
      </c>
    </row>
    <row r="62" ht="31" customHeight="1">
      <c r="A62" s="12" t="n">
        <v>15</v>
      </c>
      <c r="B62" s="12" t="inlineStr">
        <is>
          <t>CL</t>
        </is>
      </c>
      <c r="C62" s="12" t="inlineStr">
        <is>
          <t>T15-CL</t>
        </is>
      </c>
      <c r="D62" s="12">
        <f>SUMIFS('13_WBS'!$J$5:$J$76,'13_WBS'!$E$5:$E$76,B62,'13_WBS'!$F$5:$F$76,A62)</f>
        <v>3</v>
      </c>
      <c r="E62" s="12">
        <f>SUMIFS('13_WBS'!$L$5:$L$76,'13_WBS'!$E$5:$E$76,B62,'13_WBS'!$F$5:$F$76,A62)</f>
        <v>3.5999999999999996</v>
      </c>
      <c r="F62" s="12">
        <f>2*'00_START'!$B$8*'00_START'!$B$9/'00_START'!$B$12</f>
        <v>3.75</v>
      </c>
      <c r="G62" s="12">
        <f>F62-E62</f>
        <v>0.15000000000000036</v>
      </c>
      <c r="H62" s="12" t="str">
        <f>IF(G62&lt;0,"OVERLOAD","OK")</f>
        <v>OK</v>
      </c>
    </row>
    <row r="63" ht="31" customHeight="1">
      <c r="A63" s="11" t="n">
        <v>15</v>
      </c>
      <c r="B63" s="11" t="inlineStr">
        <is>
          <t>SV</t>
        </is>
      </c>
      <c r="C63" s="11" t="inlineStr">
        <is>
          <t>T15-SV</t>
        </is>
      </c>
      <c r="D63" s="11">
        <f>SUMIFS('13_WBS'!$J$5:$J$76,'13_WBS'!$E$5:$E$76,B63,'13_WBS'!$F$5:$F$76,A63)</f>
        <v>3</v>
      </c>
      <c r="E63" s="11">
        <f>SUMIFS('13_WBS'!$L$5:$L$76,'13_WBS'!$E$5:$E$76,B63,'13_WBS'!$F$5:$F$76,A63)</f>
        <v>3.5999999999999996</v>
      </c>
      <c r="F63" s="11">
        <f>2*'00_START'!$B$8*'00_START'!$B$9/'00_START'!$B$12</f>
        <v>3.75</v>
      </c>
      <c r="G63" s="11">
        <f>F63-E63</f>
        <v>0.15000000000000036</v>
      </c>
      <c r="H63" s="11" t="str">
        <f>IF(G63&lt;0,"OVERLOAD","OK")</f>
        <v>OK</v>
      </c>
    </row>
    <row r="64" ht="31" customHeight="1">
      <c r="A64" s="12" t="n">
        <v>15</v>
      </c>
      <c r="B64" s="12" t="inlineStr">
        <is>
          <t>AR</t>
        </is>
      </c>
      <c r="C64" s="12" t="inlineStr">
        <is>
          <t>T15-AR</t>
        </is>
      </c>
      <c r="D64" s="12">
        <f>SUMIFS('13_WBS'!$J$5:$J$76,'13_WBS'!$E$5:$E$76,B64,'13_WBS'!$F$5:$F$76,A64)</f>
        <v>2</v>
      </c>
      <c r="E64" s="12">
        <f>SUMIFS('13_WBS'!$L$5:$L$76,'13_WBS'!$E$5:$E$76,B64,'13_WBS'!$F$5:$F$76,A64)</f>
        <v>2.4</v>
      </c>
      <c r="F64" s="12">
        <f>2*'00_START'!$B$8*'00_START'!$B$9/'00_START'!$B$12</f>
        <v>3.75</v>
      </c>
      <c r="G64" s="12">
        <f>F64-E64</f>
        <v>1.35</v>
      </c>
      <c r="H64" s="12" t="str">
        <f>IF(G64&lt;0,"OVERLOAD","OK")</f>
        <v>OK</v>
      </c>
    </row>
    <row r="65" ht="31" customHeight="1">
      <c r="A65" s="11" t="n">
        <v>16</v>
      </c>
      <c r="B65" s="11" t="inlineStr">
        <is>
          <t>GD</t>
        </is>
      </c>
      <c r="C65" s="11" t="inlineStr">
        <is>
          <t>T16-GD</t>
        </is>
      </c>
      <c r="D65" s="11">
        <f>SUMIFS('13_WBS'!$J$5:$J$76,'13_WBS'!$E$5:$E$76,B65,'13_WBS'!$F$5:$F$76,A65)</f>
        <v>3</v>
      </c>
      <c r="E65" s="11">
        <f>SUMIFS('13_WBS'!$L$5:$L$76,'13_WBS'!$E$5:$E$76,B65,'13_WBS'!$F$5:$F$76,A65)</f>
        <v>3.5999999999999996</v>
      </c>
      <c r="F65" s="11">
        <f>2*'00_START'!$B$8*'00_START'!$B$9/'00_START'!$B$12</f>
        <v>3.75</v>
      </c>
      <c r="G65" s="11">
        <f>F65-E65</f>
        <v>0.15000000000000036</v>
      </c>
      <c r="H65" s="11" t="str">
        <f>IF(G65&lt;0,"OVERLOAD","OK")</f>
        <v>OK</v>
      </c>
    </row>
    <row r="66" ht="31" customHeight="1">
      <c r="A66" s="12" t="n">
        <v>16</v>
      </c>
      <c r="B66" s="12" t="inlineStr">
        <is>
          <t>CL</t>
        </is>
      </c>
      <c r="C66" s="12" t="inlineStr">
        <is>
          <t>T16-CL</t>
        </is>
      </c>
      <c r="D66" s="12">
        <f>SUMIFS('13_WBS'!$J$5:$J$76,'13_WBS'!$E$5:$E$76,B66,'13_WBS'!$F$5:$F$76,A66)</f>
        <v>3</v>
      </c>
      <c r="E66" s="12">
        <f>SUMIFS('13_WBS'!$L$5:$L$76,'13_WBS'!$E$5:$E$76,B66,'13_WBS'!$F$5:$F$76,A66)</f>
        <v>3.5999999999999996</v>
      </c>
      <c r="F66" s="12">
        <f>2*'00_START'!$B$8*'00_START'!$B$9/'00_START'!$B$12</f>
        <v>3.75</v>
      </c>
      <c r="G66" s="12">
        <f>F66-E66</f>
        <v>0.15000000000000036</v>
      </c>
      <c r="H66" s="12" t="str">
        <f>IF(G66&lt;0,"OVERLOAD","OK")</f>
        <v>OK</v>
      </c>
    </row>
    <row r="67" ht="31" customHeight="1">
      <c r="A67" s="11" t="n">
        <v>16</v>
      </c>
      <c r="B67" s="11" t="inlineStr">
        <is>
          <t>SV</t>
        </is>
      </c>
      <c r="C67" s="11" t="inlineStr">
        <is>
          <t>T16-SV</t>
        </is>
      </c>
      <c r="D67" s="11">
        <f>SUMIFS('13_WBS'!$J$5:$J$76,'13_WBS'!$E$5:$E$76,B67,'13_WBS'!$F$5:$F$76,A67)</f>
        <v>3</v>
      </c>
      <c r="E67" s="11">
        <f>SUMIFS('13_WBS'!$L$5:$L$76,'13_WBS'!$E$5:$E$76,B67,'13_WBS'!$F$5:$F$76,A67)</f>
        <v>3.5999999999999996</v>
      </c>
      <c r="F67" s="11">
        <f>2*'00_START'!$B$8*'00_START'!$B$9/'00_START'!$B$12</f>
        <v>3.75</v>
      </c>
      <c r="G67" s="11">
        <f>F67-E67</f>
        <v>0.15000000000000036</v>
      </c>
      <c r="H67" s="11" t="str">
        <f>IF(G67&lt;0,"OVERLOAD","OK")</f>
        <v>OK</v>
      </c>
    </row>
    <row r="68" ht="31" customHeight="1">
      <c r="A68" s="12" t="n">
        <v>16</v>
      </c>
      <c r="B68" s="12" t="inlineStr">
        <is>
          <t>AR</t>
        </is>
      </c>
      <c r="C68" s="12" t="inlineStr">
        <is>
          <t>T16-AR</t>
        </is>
      </c>
      <c r="D68" s="12">
        <f>SUMIFS('13_WBS'!$J$5:$J$76,'13_WBS'!$E$5:$E$76,B68,'13_WBS'!$F$5:$F$76,A68)</f>
        <v>2.5</v>
      </c>
      <c r="E68" s="12">
        <f>SUMIFS('13_WBS'!$L$5:$L$76,'13_WBS'!$E$5:$E$76,B68,'13_WBS'!$F$5:$F$76,A68)</f>
        <v>3.0</v>
      </c>
      <c r="F68" s="12">
        <f>2*'00_START'!$B$8*'00_START'!$B$9/'00_START'!$B$12</f>
        <v>3.75</v>
      </c>
      <c r="G68" s="12">
        <f>F68-E68</f>
        <v>0.75</v>
      </c>
      <c r="H68" s="12" t="str">
        <f>IF(G68&lt;0,"OVERLOAD","OK")</f>
        <v>OK</v>
      </c>
    </row>
    <row r="69" ht="31" customHeight="1">
      <c r="A69" s="11" t="n">
        <v>17</v>
      </c>
      <c r="B69" s="11" t="inlineStr">
        <is>
          <t>GD</t>
        </is>
      </c>
      <c r="C69" s="11" t="inlineStr">
        <is>
          <t>T17-GD</t>
        </is>
      </c>
      <c r="D69" s="11">
        <f>SUMIFS('13_WBS'!$J$5:$J$76,'13_WBS'!$E$5:$E$76,B69,'13_WBS'!$F$5:$F$76,A69)</f>
        <v>3</v>
      </c>
      <c r="E69" s="11">
        <f>SUMIFS('13_WBS'!$L$5:$L$76,'13_WBS'!$E$5:$E$76,B69,'13_WBS'!$F$5:$F$76,A69)</f>
        <v>3.5999999999999996</v>
      </c>
      <c r="F69" s="11">
        <f>2*'00_START'!$B$8*'00_START'!$B$9/'00_START'!$B$12</f>
        <v>3.75</v>
      </c>
      <c r="G69" s="11">
        <f>F69-E69</f>
        <v>0.15000000000000036</v>
      </c>
      <c r="H69" s="11" t="str">
        <f>IF(G69&lt;0,"OVERLOAD","OK")</f>
        <v>OK</v>
      </c>
    </row>
    <row r="70" ht="31" customHeight="1">
      <c r="A70" s="12" t="n">
        <v>17</v>
      </c>
      <c r="B70" s="12" t="inlineStr">
        <is>
          <t>CL</t>
        </is>
      </c>
      <c r="C70" s="12" t="inlineStr">
        <is>
          <t>T17-CL</t>
        </is>
      </c>
      <c r="D70" s="12">
        <f>SUMIFS('13_WBS'!$J$5:$J$76,'13_WBS'!$E$5:$E$76,B70,'13_WBS'!$F$5:$F$76,A70)</f>
        <v>3</v>
      </c>
      <c r="E70" s="12">
        <f>SUMIFS('13_WBS'!$L$5:$L$76,'13_WBS'!$E$5:$E$76,B70,'13_WBS'!$F$5:$F$76,A70)</f>
        <v>3.5999999999999996</v>
      </c>
      <c r="F70" s="12">
        <f>2*'00_START'!$B$8*'00_START'!$B$9/'00_START'!$B$12</f>
        <v>3.75</v>
      </c>
      <c r="G70" s="12">
        <f>F70-E70</f>
        <v>0.15000000000000036</v>
      </c>
      <c r="H70" s="12" t="str">
        <f>IF(G70&lt;0,"OVERLOAD","OK")</f>
        <v>OK</v>
      </c>
    </row>
    <row r="71" ht="31" customHeight="1">
      <c r="A71" s="11" t="n">
        <v>17</v>
      </c>
      <c r="B71" s="11" t="inlineStr">
        <is>
          <t>SV</t>
        </is>
      </c>
      <c r="C71" s="11" t="inlineStr">
        <is>
          <t>T17-SV</t>
        </is>
      </c>
      <c r="D71" s="11">
        <f>SUMIFS('13_WBS'!$J$5:$J$76,'13_WBS'!$E$5:$E$76,B71,'13_WBS'!$F$5:$F$76,A71)</f>
        <v>3</v>
      </c>
      <c r="E71" s="11">
        <f>SUMIFS('13_WBS'!$L$5:$L$76,'13_WBS'!$E$5:$E$76,B71,'13_WBS'!$F$5:$F$76,A71)</f>
        <v>3.5999999999999996</v>
      </c>
      <c r="F71" s="11">
        <f>2*'00_START'!$B$8*'00_START'!$B$9/'00_START'!$B$12</f>
        <v>3.75</v>
      </c>
      <c r="G71" s="11">
        <f>F71-E71</f>
        <v>0.15000000000000036</v>
      </c>
      <c r="H71" s="11" t="str">
        <f>IF(G71&lt;0,"OVERLOAD","OK")</f>
        <v>OK</v>
      </c>
    </row>
    <row r="72" ht="31" customHeight="1">
      <c r="A72" s="12" t="n">
        <v>17</v>
      </c>
      <c r="B72" s="12" t="inlineStr">
        <is>
          <t>AR</t>
        </is>
      </c>
      <c r="C72" s="12" t="inlineStr">
        <is>
          <t>T17-AR</t>
        </is>
      </c>
      <c r="D72" s="12">
        <f>SUMIFS('13_WBS'!$J$5:$J$76,'13_WBS'!$E$5:$E$76,B72,'13_WBS'!$F$5:$F$76,A72)</f>
        <v>2.5</v>
      </c>
      <c r="E72" s="12">
        <f>SUMIFS('13_WBS'!$L$5:$L$76,'13_WBS'!$E$5:$E$76,B72,'13_WBS'!$F$5:$F$76,A72)</f>
        <v>3.0</v>
      </c>
      <c r="F72" s="12">
        <f>2*'00_START'!$B$8*'00_START'!$B$9/'00_START'!$B$12</f>
        <v>3.75</v>
      </c>
      <c r="G72" s="12">
        <f>F72-E72</f>
        <v>0.75</v>
      </c>
      <c r="H72" s="12" t="str">
        <f>IF(G72&lt;0,"OVERLOAD","OK")</f>
        <v>OK</v>
      </c>
    </row>
    <row r="73" ht="31" customHeight="1">
      <c r="A73" s="11" t="n">
        <v>18</v>
      </c>
      <c r="B73" s="11" t="inlineStr">
        <is>
          <t>GD</t>
        </is>
      </c>
      <c r="C73" s="11" t="inlineStr">
        <is>
          <t>T18-GD</t>
        </is>
      </c>
      <c r="D73" s="11">
        <f>SUMIFS('13_WBS'!$J$5:$J$76,'13_WBS'!$E$5:$E$76,B73,'13_WBS'!$F$5:$F$76,A73)</f>
        <v>3</v>
      </c>
      <c r="E73" s="11">
        <f>SUMIFS('13_WBS'!$L$5:$L$76,'13_WBS'!$E$5:$E$76,B73,'13_WBS'!$F$5:$F$76,A73)</f>
        <v>3.5999999999999996</v>
      </c>
      <c r="F73" s="11">
        <f>2*'00_START'!$B$8*'00_START'!$B$9/'00_START'!$B$12</f>
        <v>3.75</v>
      </c>
      <c r="G73" s="11">
        <f>F73-E73</f>
        <v>0.15000000000000036</v>
      </c>
      <c r="H73" s="11" t="str">
        <f>IF(G73&lt;0,"OVERLOAD","OK")</f>
        <v>OK</v>
      </c>
    </row>
    <row r="74" ht="31" customHeight="1">
      <c r="A74" s="12" t="n">
        <v>18</v>
      </c>
      <c r="B74" s="12" t="inlineStr">
        <is>
          <t>CL</t>
        </is>
      </c>
      <c r="C74" s="12" t="inlineStr">
        <is>
          <t>T18-CL</t>
        </is>
      </c>
      <c r="D74" s="12">
        <f>SUMIFS('13_WBS'!$J$5:$J$76,'13_WBS'!$E$5:$E$76,B74,'13_WBS'!$F$5:$F$76,A74)</f>
        <v>3</v>
      </c>
      <c r="E74" s="12">
        <f>SUMIFS('13_WBS'!$L$5:$L$76,'13_WBS'!$E$5:$E$76,B74,'13_WBS'!$F$5:$F$76,A74)</f>
        <v>3.5999999999999996</v>
      </c>
      <c r="F74" s="12">
        <f>2*'00_START'!$B$8*'00_START'!$B$9/'00_START'!$B$12</f>
        <v>3.75</v>
      </c>
      <c r="G74" s="12">
        <f>F74-E74</f>
        <v>0.15000000000000036</v>
      </c>
      <c r="H74" s="12" t="str">
        <f>IF(G74&lt;0,"OVERLOAD","OK")</f>
        <v>OK</v>
      </c>
    </row>
    <row r="75" ht="31" customHeight="1">
      <c r="A75" s="11" t="n">
        <v>18</v>
      </c>
      <c r="B75" s="11" t="inlineStr">
        <is>
          <t>SV</t>
        </is>
      </c>
      <c r="C75" s="11" t="inlineStr">
        <is>
          <t>T18-SV</t>
        </is>
      </c>
      <c r="D75" s="11">
        <f>SUMIFS('13_WBS'!$J$5:$J$76,'13_WBS'!$E$5:$E$76,B75,'13_WBS'!$F$5:$F$76,A75)</f>
        <v>3</v>
      </c>
      <c r="E75" s="11">
        <f>SUMIFS('13_WBS'!$L$5:$L$76,'13_WBS'!$E$5:$E$76,B75,'13_WBS'!$F$5:$F$76,A75)</f>
        <v>3.5999999999999996</v>
      </c>
      <c r="F75" s="11">
        <f>2*'00_START'!$B$8*'00_START'!$B$9/'00_START'!$B$12</f>
        <v>3.75</v>
      </c>
      <c r="G75" s="11">
        <f>F75-E75</f>
        <v>0.15000000000000036</v>
      </c>
      <c r="H75" s="11" t="str">
        <f>IF(G75&lt;0,"OVERLOAD","OK")</f>
        <v>OK</v>
      </c>
    </row>
    <row r="76" ht="31" customHeight="1">
      <c r="A76" s="12" t="n">
        <v>18</v>
      </c>
      <c r="B76" s="12" t="inlineStr">
        <is>
          <t>AR</t>
        </is>
      </c>
      <c r="C76" s="12" t="inlineStr">
        <is>
          <t>T18-AR</t>
        </is>
      </c>
      <c r="D76" s="12">
        <f>SUMIFS('13_WBS'!$J$5:$J$76,'13_WBS'!$E$5:$E$76,B76,'13_WBS'!$F$5:$F$76,A76)</f>
        <v>2</v>
      </c>
      <c r="E76" s="12">
        <f>SUMIFS('13_WBS'!$L$5:$L$76,'13_WBS'!$E$5:$E$76,B76,'13_WBS'!$F$5:$F$76,A76)</f>
        <v>2.4</v>
      </c>
      <c r="F76" s="12">
        <f>2*'00_START'!$B$8*'00_START'!$B$9/'00_START'!$B$12</f>
        <v>3.75</v>
      </c>
      <c r="G76" s="12">
        <f>F76-E76</f>
        <v>1.35</v>
      </c>
      <c r="H76" s="12" t="str">
        <f>IF(G76&lt;0,"OVERLOAD","OK")</f>
        <v>OK</v>
      </c>
    </row>
  </sheetData>
  <autoFilter ref="A4:H76"/>
  <mergeCells count="2">
    <mergeCell ref="A2:H2"/>
    <mergeCell ref="A1:H1"/>
  </mergeCells>
  <conditionalFormatting sqref="G5:G76">
    <cfRule type="cellIs" priority="1" operator="lessThan" dxfId="1">
      <formula>0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0"/>
    <pageSetUpPr fitToPage="1"/>
  </sheetPr>
  <dimension ref="A1:D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6" customWidth="1" min="2" max="2"/>
    <col width="31" customWidth="1" min="3" max="3"/>
    <col width="110" customWidth="1" min="4" max="4"/>
  </cols>
  <sheetData>
    <row r="1" ht="34" customHeight="1">
      <c r="A1" s="1" t="inlineStr">
        <is>
          <t>21 / Quy đổi thời gian theo availability</t>
        </is>
      </c>
    </row>
    <row r="2" ht="31" customHeight="1">
      <c r="A2" s="2" t="inlineStr">
        <is>
          <t>36 tuần là phương án 20h/người/tuần; thời gian thực tế phụ thuộc availability/nghỉ/học và kết quả spike. Bảng không tự dịch WBS.</t>
        </is>
      </c>
    </row>
    <row r="4" ht="31" customHeight="1">
      <c r="A4" s="3" t="inlineStr">
        <is>
          <t>Hours / người / tuần</t>
        </is>
      </c>
      <c r="B4" s="3" t="inlineStr">
        <is>
          <t>Equivalent weeks</t>
        </is>
      </c>
      <c r="C4" s="3" t="inlineStr">
        <is>
          <t>Equivalent months (~4.345w)</t>
        </is>
      </c>
      <c r="D4" s="3" t="inlineStr">
        <is>
          <t>Lưu ý</t>
        </is>
      </c>
    </row>
    <row r="5" ht="39" customHeight="1">
      <c r="A5" s="11" t="n">
        <v>10</v>
      </c>
      <c r="B5" s="14">
        <f>'00_START'!$B$11*'00_START'!$B$8/A5</f>
        <v>72.0</v>
      </c>
      <c r="C5" s="14">
        <f>B5/4.345</f>
        <v>16.57077100115075</v>
      </c>
      <c r="D5" s="11" t="inlineStr">
        <is>
          <t>Quy đổi công suất; chỉ dùng khi cả 4 người có cùng availability. Cần rebaseline các sprint/phụ thuộc, không coi là deadline chắc chắn.</t>
        </is>
      </c>
    </row>
    <row r="6" ht="39" customHeight="1">
      <c r="A6" s="12" t="n">
        <v>15</v>
      </c>
      <c r="B6" s="18">
        <f>'00_START'!$B$11*'00_START'!$B$8/A6</f>
        <v>48.0</v>
      </c>
      <c r="C6" s="18">
        <f>B6/4.345</f>
        <v>11.047180667433832</v>
      </c>
      <c r="D6" s="12" t="inlineStr">
        <is>
          <t>Quy đổi công suất; chỉ dùng khi cả 4 người có cùng availability. Cần rebaseline các sprint/phụ thuộc, không coi là deadline chắc chắn.</t>
        </is>
      </c>
    </row>
    <row r="7" ht="39" customHeight="1">
      <c r="A7" s="11" t="n">
        <v>20</v>
      </c>
      <c r="B7" s="14">
        <f>'00_START'!$B$11*'00_START'!$B$8/A7</f>
        <v>36.0</v>
      </c>
      <c r="C7" s="14">
        <f>B7/4.345</f>
        <v>8.285385500575375</v>
      </c>
      <c r="D7" s="11" t="inlineStr">
        <is>
          <t>Quy đổi công suất; chỉ dùng khi cả 4 người có cùng availability. Cần rebaseline các sprint/phụ thuộc, không coi là deadline chắc chắn.</t>
        </is>
      </c>
    </row>
    <row r="8" ht="39" customHeight="1">
      <c r="A8" s="12" t="n">
        <v>30</v>
      </c>
      <c r="B8" s="18">
        <f>'00_START'!$B$11*'00_START'!$B$8/A8</f>
        <v>24.0</v>
      </c>
      <c r="C8" s="18">
        <f>B8/4.345</f>
        <v>5.523590333716916</v>
      </c>
      <c r="D8" s="12" t="inlineStr">
        <is>
          <t>Quy đổi công suất; chỉ dùng khi cả 4 người có cùng availability. Cần rebaseline các sprint/phụ thuộc, không coi là deadline chắc chắn.</t>
        </is>
      </c>
    </row>
    <row r="9" ht="39" customHeight="1">
      <c r="A9" s="11" t="n">
        <v>40</v>
      </c>
      <c r="B9" s="14">
        <f>'00_START'!$B$11*'00_START'!$B$8/A9</f>
        <v>18.0</v>
      </c>
      <c r="C9" s="14">
        <f>B9/4.345</f>
        <v>4.142692750287687</v>
      </c>
      <c r="D9" s="11" t="inlineStr">
        <is>
          <t>Quy đổi công suất; chỉ dùng khi cả 4 người có cùng availability. Cần rebaseline các sprint/phụ thuộc, không coi là deadline chắc chắn.</t>
        </is>
      </c>
    </row>
  </sheetData>
  <autoFilter ref="A4:D9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0"/>
    <pageSetUpPr fitToPage="1"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26" customWidth="1" min="4" max="4"/>
    <col width="26" customWidth="1" min="5" max="5"/>
    <col width="36" customWidth="1" min="6" max="6"/>
    <col width="110" customWidth="1" min="7" max="7"/>
  </cols>
  <sheetData>
    <row r="1" ht="34" customHeight="1">
      <c r="A1" s="1" t="inlineStr">
        <is>
          <t>22 / Cash input &amp; giá trị công sức</t>
        </is>
      </c>
    </row>
    <row r="2" ht="31" customHeight="1">
      <c r="A2" s="2" t="inlineStr">
        <is>
          <t>User: no budget. Tất cả đơn giá=0 là placeholder/mục tiêu, không phải báo giá đã xác nhận. Không cần nghiên cứu giá thị trường để dùng bảng này.</t>
        </is>
      </c>
    </row>
    <row r="4" ht="31" customHeight="1">
      <c r="A4" s="3" t="inlineStr">
        <is>
          <t>ID</t>
        </is>
      </c>
      <c r="B4" s="3" t="inlineStr">
        <is>
          <t>Khoản</t>
        </is>
      </c>
      <c r="C4" s="3" t="inlineStr">
        <is>
          <t>Số lượng / Giờ</t>
        </is>
      </c>
      <c r="D4" s="3" t="inlineStr">
        <is>
          <t>Đơn giá VND (input)</t>
        </is>
      </c>
      <c r="E4" s="3" t="inlineStr">
        <is>
          <t>Thành tiền VND</t>
        </is>
      </c>
      <c r="F4" s="3" t="inlineStr">
        <is>
          <t>Trạng thái</t>
        </is>
      </c>
      <c r="G4" s="3" t="inlineStr">
        <is>
          <t>Ghi chú</t>
        </is>
      </c>
    </row>
    <row r="5" ht="31" customHeight="1">
      <c r="A5" s="11" t="inlineStr">
        <is>
          <t>CASH-01</t>
        </is>
      </c>
      <c r="B5" s="11" t="inlineStr">
        <is>
          <t>Hosting server / tháng</t>
        </is>
      </c>
      <c r="C5" s="23" t="n">
        <v>0</v>
      </c>
      <c r="D5" s="24" t="n">
        <v>0</v>
      </c>
      <c r="E5" s="25">
        <f>C5*D5</f>
        <v>0</v>
      </c>
      <c r="F5" s="11" t="inlineStr">
        <is>
          <t>Chưa có báo giá / chưa có host</t>
        </is>
      </c>
      <c r="G5" s="11" t="inlineStr">
        <is>
          <t>Local/LAN trước; điền đơn giá thật khi chọn môi trường.</t>
        </is>
      </c>
    </row>
    <row r="6" ht="31" customHeight="1">
      <c r="A6" s="12" t="inlineStr">
        <is>
          <t>CASH-02</t>
        </is>
      </c>
      <c r="B6" s="12" t="inlineStr">
        <is>
          <t>Backup storage / tháng</t>
        </is>
      </c>
      <c r="C6" s="23" t="n">
        <v>0</v>
      </c>
      <c r="D6" s="24" t="n">
        <v>0</v>
      </c>
      <c r="E6" s="26">
        <f>C6*D6</f>
        <v>0</v>
      </c>
      <c r="F6" s="12" t="inlineStr">
        <is>
          <t>Chưa có báo giá</t>
        </is>
      </c>
      <c r="G6" s="12" t="inlineStr">
        <is>
          <t>Backup cần ở nơi độc lập với máy chạy; dữ liệu alpha có thể dùng tài nguyên sẵn có nếu đủ điều kiện.</t>
        </is>
      </c>
    </row>
    <row r="7" ht="31" customHeight="1">
      <c r="A7" s="11" t="inlineStr">
        <is>
          <t>CASH-03</t>
        </is>
      </c>
      <c r="B7" s="11" t="inlineStr">
        <is>
          <t>Domain / năm (tùy chọn)</t>
        </is>
      </c>
      <c r="C7" s="23" t="n">
        <v>0</v>
      </c>
      <c r="D7" s="24" t="n">
        <v>0</v>
      </c>
      <c r="E7" s="25">
        <f>C7*D7</f>
        <v>0</v>
      </c>
      <c r="F7" s="11" t="inlineStr">
        <is>
          <t>Chưa chọn</t>
        </is>
      </c>
      <c r="G7" s="11" t="inlineStr">
        <is>
          <t>Không bắt buộc cho alpha LAN/private; không mặc định miễn phí.</t>
        </is>
      </c>
    </row>
    <row r="8" ht="31" customHeight="1">
      <c r="A8" s="12" t="inlineStr">
        <is>
          <t>CASH-04</t>
        </is>
      </c>
      <c r="B8" s="12" t="inlineStr">
        <is>
          <t>Art/audio mua một lần</t>
        </is>
      </c>
      <c r="C8" s="23" t="n">
        <v>0</v>
      </c>
      <c r="D8" s="24" t="n">
        <v>0</v>
      </c>
      <c r="E8" s="26">
        <f>C8*D8</f>
        <v>0</v>
      </c>
      <c r="F8" s="12" t="inlineStr">
        <is>
          <t>Mục tiêu cash 0</t>
        </is>
      </c>
      <c r="G8" s="12" t="inlineStr">
        <is>
          <t>Tự tạo hoặc tài nguyên có nguồn sử dụng rõ; giới hạn content để không cần mua.</t>
        </is>
      </c>
    </row>
    <row r="9" ht="31" customHeight="1">
      <c r="A9" s="11" t="inlineStr">
        <is>
          <t>CASH-05</t>
        </is>
      </c>
      <c r="B9" s="11" t="inlineStr">
        <is>
          <t>Công cụ / tháng</t>
        </is>
      </c>
      <c r="C9" s="23" t="n">
        <v>0</v>
      </c>
      <c r="D9" s="24" t="n">
        <v>0</v>
      </c>
      <c r="E9" s="25">
        <f>C9*D9</f>
        <v>0</v>
      </c>
      <c r="F9" s="11" t="inlineStr">
        <is>
          <t>Chưa chọn</t>
        </is>
      </c>
      <c r="G9" s="11" t="inlineStr">
        <is>
          <t>Dùng công cụ sẵn có; mọi khoản trả phí phải được owner chốt.</t>
        </is>
      </c>
    </row>
    <row r="10" ht="31" customHeight="1">
      <c r="A10" s="12" t="inlineStr">
        <is>
          <t>CASH-06</t>
        </is>
      </c>
      <c r="B10" s="12" t="inlineStr">
        <is>
          <t>Tổng cash nhập</t>
        </is>
      </c>
      <c r="C10" s="12" t="n"/>
      <c r="D10" s="26" t="n"/>
      <c r="E10" s="26">
        <f>SUM(E5:E9)</f>
        <v>0</v>
      </c>
      <c r="F10" s="12" t="inlineStr">
        <is>
          <t>Số 0 không phải dự toán thị trường</t>
        </is>
      </c>
      <c r="G10" s="12" t="inlineStr">
        <is>
          <t>Tổng chỉ có tác dụng sau khi điền các đơn giá/số lượng; không cam kết online 0 đồng.</t>
        </is>
      </c>
    </row>
    <row r="11" ht="31" customHeight="1">
      <c r="A11" s="11" t="inlineStr">
        <is>
          <t>TIME-01</t>
        </is>
      </c>
      <c r="B11" s="11" t="inlineStr">
        <is>
          <t>Giờ công cơ sở</t>
        </is>
      </c>
      <c r="C11" s="11" t="n">
        <v>1592</v>
      </c>
      <c r="D11" s="24" t="n">
        <v>0</v>
      </c>
      <c r="E11" s="25">
        <f>C11*D11</f>
        <v>0</v>
      </c>
      <c r="F11" s="11" t="inlineStr">
        <is>
          <t>Giờ đóng góp, không phải lương</t>
        </is>
      </c>
      <c r="G11" s="11" t="inlineStr">
        <is>
          <t>Đơn giá 0 theo bố i cảnh tự phát triển; thay đơn giá để ước giá trị công sức nếu muốn.</t>
        </is>
      </c>
    </row>
    <row r="12" ht="31" customHeight="1">
      <c r="A12" s="12" t="inlineStr">
        <is>
          <t>TIME-02</t>
        </is>
      </c>
      <c r="B12" s="12" t="inlineStr">
        <is>
          <t>Giờ công dự phòng</t>
        </is>
      </c>
      <c r="C12" s="12" t="n">
        <v>318.4</v>
      </c>
      <c r="D12" s="24" t="n">
        <v>0</v>
      </c>
      <c r="E12" s="26">
        <f>C12*D12</f>
        <v>0</v>
      </c>
      <c r="F12" s="12" t="inlineStr">
        <is>
          <t>20% effort</t>
        </is>
      </c>
      <c r="G12" s="12" t="inlineStr">
        <is>
          <t>Tách khỏi cash hạ tầng; không thuê mới người làm.</t>
        </is>
      </c>
    </row>
  </sheetData>
  <autoFilter ref="A4:G12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0"/>
    <pageSetUpPr fitToPage="1"/>
  </sheetPr>
  <dimension ref="A1:H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25" customWidth="1" min="4" max="4"/>
    <col width="25" customWidth="1" min="5" max="5"/>
    <col width="55" customWidth="1" min="6" max="6"/>
    <col width="25" customWidth="1" min="7" max="7"/>
    <col width="30" customWidth="1" min="8" max="8"/>
  </cols>
  <sheetData>
    <row r="1" ht="34" customHeight="1">
      <c r="A1" s="1" t="inlineStr">
        <is>
          <t>23 / Requirement → Rule → UC → WBS → Test</t>
        </is>
      </c>
    </row>
    <row r="2" ht="31" customHeight="1">
      <c r="A2" s="2" t="inlineStr">
        <is>
          <t>Một nguồn ID để kiểm tra đủ phạm vi. FSD/WBS không đánh dấu implemented; Status của test quản lý tại 16_TEST_CASES.</t>
        </is>
      </c>
    </row>
    <row r="4" ht="31" customHeight="1">
      <c r="A4" s="3" t="inlineStr">
        <is>
          <t>Requirement ID</t>
        </is>
      </c>
      <c r="B4" s="3" t="inlineStr">
        <is>
          <t>Tên</t>
        </is>
      </c>
      <c r="C4" s="3" t="inlineStr">
        <is>
          <t>Phase</t>
        </is>
      </c>
      <c r="D4" s="3" t="inlineStr">
        <is>
          <t>Rules</t>
        </is>
      </c>
      <c r="E4" s="3" t="inlineStr">
        <is>
          <t>Use Cases</t>
        </is>
      </c>
      <c r="F4" s="3" t="inlineStr">
        <is>
          <t>WBS IDs</t>
        </is>
      </c>
      <c r="G4" s="3" t="inlineStr">
        <is>
          <t>Test ID</t>
        </is>
      </c>
      <c r="H4" s="3" t="inlineStr">
        <is>
          <t>Test status at baseline</t>
        </is>
      </c>
    </row>
    <row r="5" ht="31" customHeight="1">
      <c r="A5" s="11" t="inlineStr">
        <is>
          <t>CL-001</t>
        </is>
      </c>
      <c r="B5" s="11" t="inlineStr">
        <is>
          <t>Đăng nhập bằng tài khoản mời</t>
        </is>
      </c>
      <c r="C5" s="11" t="inlineStr">
        <is>
          <t>MVP</t>
        </is>
      </c>
      <c r="D5" s="11" t="inlineStr"/>
      <c r="E5" s="11" t="inlineStr">
        <is>
          <t>UC-01</t>
        </is>
      </c>
      <c r="F5" s="11" t="inlineStr">
        <is>
          <t>T02-CL, T02-SV</t>
        </is>
      </c>
      <c r="G5" s="11" t="inlineStr">
        <is>
          <t>TC-CL-001</t>
        </is>
      </c>
      <c r="H5" s="11" t="inlineStr">
        <is>
          <t>Chưa chạy</t>
        </is>
      </c>
    </row>
    <row r="6" ht="31" customHeight="1">
      <c r="A6" s="12" t="inlineStr">
        <is>
          <t>CL-002</t>
        </is>
      </c>
      <c r="B6" s="12" t="inlineStr">
        <is>
          <t>Tạo và chọn nhân vật</t>
        </is>
      </c>
      <c r="C6" s="12" t="inlineStr">
        <is>
          <t>MVP</t>
        </is>
      </c>
      <c r="D6" s="12" t="inlineStr">
        <is>
          <t>BR-01</t>
        </is>
      </c>
      <c r="E6" s="12" t="inlineStr">
        <is>
          <t>UC-01</t>
        </is>
      </c>
      <c r="F6" s="12" t="inlineStr">
        <is>
          <t>T02-CL, T02-SV</t>
        </is>
      </c>
      <c r="G6" s="12" t="inlineStr">
        <is>
          <t>TC-CL-002</t>
        </is>
      </c>
      <c r="H6" s="12" t="inlineStr">
        <is>
          <t>Chưa chạy</t>
        </is>
      </c>
    </row>
    <row r="7" ht="31" customHeight="1">
      <c r="A7" s="11" t="inlineStr">
        <is>
          <t>CL-003</t>
        </is>
      </c>
      <c r="B7" s="11" t="inlineStr">
        <is>
          <t>Click-to-move isometric</t>
        </is>
      </c>
      <c r="C7" s="11" t="inlineStr">
        <is>
          <t>MVP</t>
        </is>
      </c>
      <c r="D7" s="11" t="inlineStr">
        <is>
          <t>BR-02</t>
        </is>
      </c>
      <c r="E7" s="11" t="inlineStr">
        <is>
          <t>UC-02</t>
        </is>
      </c>
      <c r="F7" s="11" t="inlineStr">
        <is>
          <t>T03-CL, T04-SV</t>
        </is>
      </c>
      <c r="G7" s="11" t="inlineStr">
        <is>
          <t>TC-CL-003</t>
        </is>
      </c>
      <c r="H7" s="11" t="inlineStr">
        <is>
          <t>Chưa chạy</t>
        </is>
      </c>
    </row>
    <row r="8" ht="31" customHeight="1">
      <c r="A8" s="12" t="inlineStr">
        <is>
          <t>CL-004</t>
        </is>
      </c>
      <c r="B8" s="12" t="inlineStr">
        <is>
          <t>Camera và depth sorting</t>
        </is>
      </c>
      <c r="C8" s="12" t="inlineStr">
        <is>
          <t>MVP</t>
        </is>
      </c>
      <c r="D8" s="12" t="inlineStr"/>
      <c r="E8" s="12" t="inlineStr"/>
      <c r="F8" s="12" t="inlineStr">
        <is>
          <t>T02-CL, T03-CL, T03-AR</t>
        </is>
      </c>
      <c r="G8" s="12" t="inlineStr">
        <is>
          <t>TC-CL-004</t>
        </is>
      </c>
      <c r="H8" s="12" t="inlineStr">
        <is>
          <t>Chưa chạy</t>
        </is>
      </c>
    </row>
    <row r="9" ht="31" customHeight="1">
      <c r="A9" s="11" t="inlineStr">
        <is>
          <t>CL-005</t>
        </is>
      </c>
      <c r="B9" s="11" t="inlineStr">
        <is>
          <t>Chọn và tương tác mục tiêu</t>
        </is>
      </c>
      <c r="C9" s="11" t="inlineStr">
        <is>
          <t>MVP</t>
        </is>
      </c>
      <c r="D9" s="11" t="inlineStr">
        <is>
          <t>BR-02</t>
        </is>
      </c>
      <c r="E9" s="11" t="inlineStr">
        <is>
          <t>UC-02</t>
        </is>
      </c>
      <c r="F9" s="11" t="inlineStr">
        <is>
          <t>T03-CL, T06-CL</t>
        </is>
      </c>
      <c r="G9" s="11" t="inlineStr">
        <is>
          <t>TC-CL-005</t>
        </is>
      </c>
      <c r="H9" s="11" t="inlineStr">
        <is>
          <t>Chưa chạy</t>
        </is>
      </c>
    </row>
    <row r="10" ht="31" customHeight="1">
      <c r="A10" s="12" t="inlineStr">
        <is>
          <t>CL-006</t>
        </is>
      </c>
      <c r="B10" s="12" t="inlineStr">
        <is>
          <t>Minimap và cổng map</t>
        </is>
      </c>
      <c r="C10" s="12" t="inlineStr">
        <is>
          <t>MVP</t>
        </is>
      </c>
      <c r="D10" s="12" t="inlineStr"/>
      <c r="E10" s="12" t="inlineStr">
        <is>
          <t>UC-11</t>
        </is>
      </c>
      <c r="F10" s="12" t="inlineStr">
        <is>
          <t>T04-CL, T12-CL, T12-SV</t>
        </is>
      </c>
      <c r="G10" s="12" t="inlineStr">
        <is>
          <t>TC-CL-006</t>
        </is>
      </c>
      <c r="H10" s="12" t="inlineStr">
        <is>
          <t>Chưa chạy</t>
        </is>
      </c>
    </row>
    <row r="11" ht="31" customHeight="1">
      <c r="A11" s="11" t="inlineStr">
        <is>
          <t>CL-007</t>
        </is>
      </c>
      <c r="B11" s="11" t="inlineStr">
        <is>
          <t>Thanh Cổ Q/W/E/R</t>
        </is>
      </c>
      <c r="C11" s="11" t="inlineStr">
        <is>
          <t>MVP</t>
        </is>
      </c>
      <c r="D11" s="11" t="inlineStr">
        <is>
          <t>BR-03</t>
        </is>
      </c>
      <c r="E11" s="11" t="inlineStr">
        <is>
          <t>UC-03</t>
        </is>
      </c>
      <c r="F11" s="11" t="inlineStr">
        <is>
          <t>T05-CL, T07-CL, T11-CL</t>
        </is>
      </c>
      <c r="G11" s="11" t="inlineStr">
        <is>
          <t>TC-CL-007</t>
        </is>
      </c>
      <c r="H11" s="11" t="inlineStr">
        <is>
          <t>Chưa chạy</t>
        </is>
      </c>
    </row>
    <row r="12" ht="31" customHeight="1">
      <c r="A12" s="12" t="inlineStr">
        <is>
          <t>CL-008</t>
        </is>
      </c>
      <c r="B12" s="12" t="inlineStr">
        <is>
          <t>Thi triển chỉ mục tiêu/điểm đất/tự thân</t>
        </is>
      </c>
      <c r="C12" s="12" t="inlineStr">
        <is>
          <t>MVP</t>
        </is>
      </c>
      <c r="D12" s="12" t="inlineStr">
        <is>
          <t>BR-04</t>
        </is>
      </c>
      <c r="E12" s="12" t="inlineStr">
        <is>
          <t>UC-03</t>
        </is>
      </c>
      <c r="F12" s="12" t="inlineStr">
        <is>
          <t>T05-CL, T05-SV, T11-CL</t>
        </is>
      </c>
      <c r="G12" s="12" t="inlineStr">
        <is>
          <t>TC-CL-008</t>
        </is>
      </c>
      <c r="H12" s="12" t="inlineStr">
        <is>
          <t>Chưa chạy</t>
        </is>
      </c>
    </row>
    <row r="13" ht="31" customHeight="1">
      <c r="A13" s="11" t="inlineStr">
        <is>
          <t>CL-009</t>
        </is>
      </c>
      <c r="B13" s="11" t="inlineStr">
        <is>
          <t>HP và Chân Nguyên</t>
        </is>
      </c>
      <c r="C13" s="11" t="inlineStr">
        <is>
          <t>MVP</t>
        </is>
      </c>
      <c r="D13" s="11" t="inlineStr">
        <is>
          <t>BR-05</t>
        </is>
      </c>
      <c r="E13" s="11" t="inlineStr"/>
      <c r="F13" s="11" t="inlineStr">
        <is>
          <t>T04-CL, T05-CL, T05-SV</t>
        </is>
      </c>
      <c r="G13" s="11" t="inlineStr">
        <is>
          <t>TC-CL-009</t>
        </is>
      </c>
      <c r="H13" s="11" t="inlineStr">
        <is>
          <t>Chưa chạy</t>
        </is>
      </c>
    </row>
    <row r="14" ht="31" customHeight="1">
      <c r="A14" s="12" t="inlineStr">
        <is>
          <t>CL-010</t>
        </is>
      </c>
      <c r="B14" s="12" t="inlineStr">
        <is>
          <t>Buff, debuff và combat feed back</t>
        </is>
      </c>
      <c r="C14" s="12" t="inlineStr">
        <is>
          <t>MVP</t>
        </is>
      </c>
      <c r="D14" s="12" t="inlineStr">
        <is>
          <t>BR-06</t>
        </is>
      </c>
      <c r="E14" s="12" t="inlineStr"/>
      <c r="F14" s="12" t="inlineStr">
        <is>
          <t>T05-CL, T11-CL, T11-AR</t>
        </is>
      </c>
      <c r="G14" s="12" t="inlineStr">
        <is>
          <t>TC-CL-010</t>
        </is>
      </c>
      <c r="H14" s="12" t="inlineStr">
        <is>
          <t>Chưa chạy</t>
        </is>
      </c>
    </row>
    <row r="15" ht="31" customHeight="1">
      <c r="A15" s="11" t="inlineStr">
        <is>
          <t>CL-011</t>
        </is>
      </c>
      <c r="B15" s="11" t="inlineStr">
        <is>
          <t>Chết và hồi sinh</t>
        </is>
      </c>
      <c r="C15" s="11" t="inlineStr">
        <is>
          <t>MVP</t>
        </is>
      </c>
      <c r="D15" s="11" t="inlineStr">
        <is>
          <t>BR-07</t>
        </is>
      </c>
      <c r="E15" s="11" t="inlineStr">
        <is>
          <t>UC-10</t>
        </is>
      </c>
      <c r="F15" s="11" t="inlineStr">
        <is>
          <t>T06-CL, T06-SV</t>
        </is>
      </c>
      <c r="G15" s="11" t="inlineStr">
        <is>
          <t>TC-CL-011</t>
        </is>
      </c>
      <c r="H15" s="11" t="inlineStr">
        <is>
          <t>Chưa chạy</t>
        </is>
      </c>
    </row>
    <row r="16" ht="31" customHeight="1">
      <c r="A16" s="12" t="inlineStr">
        <is>
          <t>CL-012</t>
        </is>
      </c>
      <c r="B16" s="12" t="inlineStr">
        <is>
          <t>Đánh quái và nhận loot</t>
        </is>
      </c>
      <c r="C16" s="12" t="inlineStr">
        <is>
          <t>MVP</t>
        </is>
      </c>
      <c r="D16" s="12" t="inlineStr">
        <is>
          <t>BR-08</t>
        </is>
      </c>
      <c r="E16" s="12" t="inlineStr">
        <is>
          <t>UC-03</t>
        </is>
      </c>
      <c r="F16" s="12" t="inlineStr">
        <is>
          <t>T06-CL, T06-SV, T07-SV</t>
        </is>
      </c>
      <c r="G16" s="12" t="inlineStr">
        <is>
          <t>TC-CL-012</t>
        </is>
      </c>
      <c r="H16" s="12" t="inlineStr">
        <is>
          <t>Chưa chạy</t>
        </is>
      </c>
    </row>
    <row r="17" ht="31" customHeight="1">
      <c r="A17" s="11" t="inlineStr">
        <is>
          <t>CL-013</t>
        </is>
      </c>
      <c r="B17" s="11" t="inlineStr">
        <is>
          <t>Túi 30 ô và stack</t>
        </is>
      </c>
      <c r="C17" s="11" t="inlineStr">
        <is>
          <t>MVP</t>
        </is>
      </c>
      <c r="D17" s="11" t="inlineStr">
        <is>
          <t>BR-09</t>
        </is>
      </c>
      <c r="E17" s="11" t="inlineStr">
        <is>
          <t>UC-04</t>
        </is>
      </c>
      <c r="F17" s="11" t="inlineStr">
        <is>
          <t>T07-CL, T07-SV</t>
        </is>
      </c>
      <c r="G17" s="11" t="inlineStr">
        <is>
          <t>TC-CL-013</t>
        </is>
      </c>
      <c r="H17" s="11" t="inlineStr">
        <is>
          <t>Chưa chạy</t>
        </is>
      </c>
    </row>
    <row r="18" ht="31" customHeight="1">
      <c r="A18" s="12" t="inlineStr">
        <is>
          <t>CL-014</t>
        </is>
      </c>
      <c r="B18" s="12" t="inlineStr">
        <is>
          <t>Tooltip và khóa Cổ</t>
        </is>
      </c>
      <c r="C18" s="12" t="inlineStr">
        <is>
          <t>MVP</t>
        </is>
      </c>
      <c r="D18" s="12" t="inlineStr">
        <is>
          <t>BR-10</t>
        </is>
      </c>
      <c r="E18" s="12" t="inlineStr">
        <is>
          <t>UC-04</t>
        </is>
      </c>
      <c r="F18" s="12" t="inlineStr">
        <is>
          <t>T07-CL, T07-SV</t>
        </is>
      </c>
      <c r="G18" s="12" t="inlineStr">
        <is>
          <t>TC-CL-014</t>
        </is>
      </c>
      <c r="H18" s="12" t="inlineStr">
        <is>
          <t>Chưa chạy</t>
        </is>
      </c>
    </row>
    <row r="19" ht="31" customHeight="1">
      <c r="A19" s="11" t="inlineStr">
        <is>
          <t>CL-015</t>
        </is>
      </c>
      <c r="B19" s="11" t="inlineStr">
        <is>
          <t>Trang bị và tháo Cổ</t>
        </is>
      </c>
      <c r="C19" s="11" t="inlineStr">
        <is>
          <t>MVP</t>
        </is>
      </c>
      <c r="D19" s="11" t="inlineStr">
        <is>
          <t>BR-03, BR-10</t>
        </is>
      </c>
      <c r="E19" s="11" t="inlineStr">
        <is>
          <t>UC-04</t>
        </is>
      </c>
      <c r="F19" s="11" t="inlineStr">
        <is>
          <t>T07-CL, T07-SV, T11-SV</t>
        </is>
      </c>
      <c r="G19" s="11" t="inlineStr">
        <is>
          <t>TC-CL-015</t>
        </is>
      </c>
      <c r="H19" s="11" t="inlineStr">
        <is>
          <t>Chưa chạy</t>
        </is>
      </c>
    </row>
    <row r="20" ht="31" customHeight="1">
      <c r="A20" s="12" t="inlineStr">
        <is>
          <t>CL-016</t>
        </is>
      </c>
      <c r="B20" s="12" t="inlineStr">
        <is>
          <t>Bắt Hoang Cổ</t>
        </is>
      </c>
      <c r="C20" s="12" t="inlineStr">
        <is>
          <t>MVP</t>
        </is>
      </c>
      <c r="D20" s="12" t="inlineStr">
        <is>
          <t>BR-11</t>
        </is>
      </c>
      <c r="E20" s="12" t="inlineStr">
        <is>
          <t>UC-05</t>
        </is>
      </c>
      <c r="F20" s="12" t="inlineStr">
        <is>
          <t>T08-CL, T08-SV</t>
        </is>
      </c>
      <c r="G20" s="12" t="inlineStr">
        <is>
          <t>TC-CL-016</t>
        </is>
      </c>
      <c r="H20" s="12" t="inlineStr">
        <is>
          <t>Chưa chạy</t>
        </is>
      </c>
    </row>
    <row r="21" ht="31" customHeight="1">
      <c r="A21" s="11" t="inlineStr">
        <is>
          <t>CL-017</t>
        </is>
      </c>
      <c r="B21" s="11" t="inlineStr">
        <is>
          <t>Cho ăn và trạng thái đói</t>
        </is>
      </c>
      <c r="C21" s="11" t="inlineStr">
        <is>
          <t>MVP</t>
        </is>
      </c>
      <c r="D21" s="11" t="inlineStr">
        <is>
          <t>BR-12</t>
        </is>
      </c>
      <c r="E21" s="11" t="inlineStr">
        <is>
          <t>UC-06</t>
        </is>
      </c>
      <c r="F21" s="11" t="inlineStr">
        <is>
          <t>T08-CL, T08-SV</t>
        </is>
      </c>
      <c r="G21" s="11" t="inlineStr">
        <is>
          <t>TC-CL-017</t>
        </is>
      </c>
      <c r="H21" s="11" t="inlineStr">
        <is>
          <t>Chưa chạy</t>
        </is>
      </c>
    </row>
    <row r="22" ht="31" customHeight="1">
      <c r="A22" s="12" t="inlineStr">
        <is>
          <t>CL-018</t>
        </is>
      </c>
      <c r="B22" s="12" t="inlineStr">
        <is>
          <t>Chọn công thức và preview</t>
        </is>
      </c>
      <c r="C22" s="12" t="inlineStr">
        <is>
          <t>MVP</t>
        </is>
      </c>
      <c r="D22" s="12" t="inlineStr">
        <is>
          <t>BR-13</t>
        </is>
      </c>
      <c r="E22" s="12" t="inlineStr">
        <is>
          <t>UC-07</t>
        </is>
      </c>
      <c r="F22" s="12" t="inlineStr">
        <is>
          <t>T09-CL, T09-SV</t>
        </is>
      </c>
      <c r="G22" s="12" t="inlineStr">
        <is>
          <t>TC-CL-018</t>
        </is>
      </c>
      <c r="H22" s="12" t="inlineStr">
        <is>
          <t>Chưa chạy</t>
        </is>
      </c>
    </row>
    <row r="23" ht="31" customHeight="1">
      <c r="A23" s="11" t="inlineStr">
        <is>
          <t>CL-019</t>
        </is>
      </c>
      <c r="B23" s="11" t="inlineStr">
        <is>
          <t>Thực hiện luyện và xem kết quả</t>
        </is>
      </c>
      <c r="C23" s="11" t="inlineStr">
        <is>
          <t>MVP</t>
        </is>
      </c>
      <c r="D23" s="11" t="inlineStr">
        <is>
          <t>BR-13, BR-14</t>
        </is>
      </c>
      <c r="E23" s="11" t="inlineStr">
        <is>
          <t>UC-07</t>
        </is>
      </c>
      <c r="F23" s="11" t="inlineStr">
        <is>
          <t>T09-CL, T09-SV</t>
        </is>
      </c>
      <c r="G23" s="11" t="inlineStr">
        <is>
          <t>TC-CL-019</t>
        </is>
      </c>
      <c r="H23" s="11" t="inlineStr">
        <is>
          <t>Chưa chạy</t>
        </is>
      </c>
    </row>
    <row r="24" ht="31" customHeight="1">
      <c r="A24" s="12" t="inlineStr">
        <is>
          <t>CL-020</t>
        </is>
      </c>
      <c r="B24" s="12" t="inlineStr">
        <is>
          <t>Cấp 1–20 và Nhất/Nhị Chuyển</t>
        </is>
      </c>
      <c r="C24" s="12" t="inlineStr">
        <is>
          <t>MVP</t>
        </is>
      </c>
      <c r="D24" s="12" t="inlineStr">
        <is>
          <t>BR-15</t>
        </is>
      </c>
      <c r="E24" s="12" t="inlineStr">
        <is>
          <t>UC-08</t>
        </is>
      </c>
      <c r="F24" s="12" t="inlineStr">
        <is>
          <t>T10-CL, T10-SV</t>
        </is>
      </c>
      <c r="G24" s="12" t="inlineStr">
        <is>
          <t>TC-CL-020</t>
        </is>
      </c>
      <c r="H24" s="12" t="inlineStr">
        <is>
          <t>Chưa chạy</t>
        </is>
      </c>
    </row>
    <row r="25" ht="31" customHeight="1">
      <c r="A25" s="11" t="inlineStr">
        <is>
          <t>CL-021</t>
        </is>
      </c>
      <c r="B25" s="11" t="inlineStr">
        <is>
          <t>10 quest và tracker</t>
        </is>
      </c>
      <c r="C25" s="11" t="inlineStr">
        <is>
          <t>MVP</t>
        </is>
      </c>
      <c r="D25" s="11" t="inlineStr">
        <is>
          <t>BR-16</t>
        </is>
      </c>
      <c r="E25" s="11" t="inlineStr">
        <is>
          <t>UC-08</t>
        </is>
      </c>
      <c r="F25" s="11" t="inlineStr">
        <is>
          <t>T10-CL, T10-SV</t>
        </is>
      </c>
      <c r="G25" s="11" t="inlineStr">
        <is>
          <t>TC-CL-021</t>
        </is>
      </c>
      <c r="H25" s="11" t="inlineStr">
        <is>
          <t>Chưa chạy</t>
        </is>
      </c>
    </row>
    <row r="26" ht="31" customHeight="1">
      <c r="A26" s="12" t="inlineStr">
        <is>
          <t>CL-022</t>
        </is>
      </c>
      <c r="B26" s="12" t="inlineStr">
        <is>
          <t>Mua/bán với NPC</t>
        </is>
      </c>
      <c r="C26" s="12" t="inlineStr">
        <is>
          <t>MVP</t>
        </is>
      </c>
      <c r="D26" s="12" t="inlineStr">
        <is>
          <t>BR-09, BR-14</t>
        </is>
      </c>
      <c r="E26" s="12" t="inlineStr">
        <is>
          <t>UC-09</t>
        </is>
      </c>
      <c r="F26" s="12" t="inlineStr">
        <is>
          <t>T10-CL, T10-SV</t>
        </is>
      </c>
      <c r="G26" s="12" t="inlineStr">
        <is>
          <t>TC-CL-022</t>
        </is>
      </c>
      <c r="H26" s="12" t="inlineStr">
        <is>
          <t>Chưa chạy</t>
        </is>
      </c>
    </row>
    <row r="27" ht="31" customHeight="1">
      <c r="A27" s="11" t="inlineStr">
        <is>
          <t>CL-023</t>
        </is>
      </c>
      <c r="B27" s="11" t="inlineStr">
        <is>
          <t>Party tối đa 3 người</t>
        </is>
      </c>
      <c r="C27" s="11" t="inlineStr">
        <is>
          <t>MVP</t>
        </is>
      </c>
      <c r="D27" s="11" t="inlineStr">
        <is>
          <t>BR-17</t>
        </is>
      </c>
      <c r="E27" s="11" t="inlineStr">
        <is>
          <t>UC-12</t>
        </is>
      </c>
      <c r="F27" s="11" t="inlineStr">
        <is>
          <t>T13-CL, T13-SV</t>
        </is>
      </c>
      <c r="G27" s="11" t="inlineStr">
        <is>
          <t>TC-CL-023</t>
        </is>
      </c>
      <c r="H27" s="11" t="inlineStr">
        <is>
          <t>Chưa chạy</t>
        </is>
      </c>
    </row>
    <row r="28" ht="31" customHeight="1">
      <c r="A28" s="12" t="inlineStr">
        <is>
          <t>CL-024</t>
        </is>
      </c>
      <c r="B28" s="12" t="inlineStr">
        <is>
          <t>Chat zone/party, mute/report</t>
        </is>
      </c>
      <c r="C28" s="12" t="inlineStr">
        <is>
          <t>MVP</t>
        </is>
      </c>
      <c r="D28" s="12" t="inlineStr">
        <is>
          <t>BR-18</t>
        </is>
      </c>
      <c r="E28" s="12" t="inlineStr"/>
      <c r="F28" s="12" t="inlineStr">
        <is>
          <t>T13-CL, T13-SV, T16-SV</t>
        </is>
      </c>
      <c r="G28" s="12" t="inlineStr">
        <is>
          <t>TC-CL-024</t>
        </is>
      </c>
      <c r="H28" s="12" t="inlineStr">
        <is>
          <t>Chưa chạy</t>
        </is>
      </c>
    </row>
    <row r="29" ht="31" customHeight="1">
      <c r="A29" s="11" t="inlineStr">
        <is>
          <t>CL-025</t>
        </is>
      </c>
      <c r="B29" s="11" t="inlineStr">
        <is>
          <t>Phụ bản 1–3 người và boss</t>
        </is>
      </c>
      <c r="C29" s="11" t="inlineStr">
        <is>
          <t>MVP</t>
        </is>
      </c>
      <c r="D29" s="11" t="inlineStr">
        <is>
          <t>BR-19</t>
        </is>
      </c>
      <c r="E29" s="11" t="inlineStr">
        <is>
          <t>UC-13</t>
        </is>
      </c>
      <c r="F29" s="11" t="inlineStr">
        <is>
          <t>T14-CL, T14-SV</t>
        </is>
      </c>
      <c r="G29" s="11" t="inlineStr">
        <is>
          <t>TC-CL-025</t>
        </is>
      </c>
      <c r="H29" s="11" t="inlineStr">
        <is>
          <t>Chưa chạy</t>
        </is>
      </c>
    </row>
    <row r="30" ht="31" customHeight="1">
      <c r="A30" s="12" t="inlineStr">
        <is>
          <t>CL-026</t>
        </is>
      </c>
      <c r="B30" s="12" t="inlineStr">
        <is>
          <t>PK opt-in 1v1</t>
        </is>
      </c>
      <c r="C30" s="12" t="inlineStr">
        <is>
          <t>MVP</t>
        </is>
      </c>
      <c r="D30" s="12" t="inlineStr">
        <is>
          <t>BR-20</t>
        </is>
      </c>
      <c r="E30" s="12" t="inlineStr">
        <is>
          <t>UC-14</t>
        </is>
      </c>
      <c r="F30" s="12" t="inlineStr">
        <is>
          <t>T15-CL, T15-SV</t>
        </is>
      </c>
      <c r="G30" s="12" t="inlineStr">
        <is>
          <t>TC-CL-026</t>
        </is>
      </c>
      <c r="H30" s="12" t="inlineStr">
        <is>
          <t>Chưa chạy</t>
        </is>
      </c>
    </row>
    <row r="31" ht="31" customHeight="1">
      <c r="A31" s="11" t="inlineStr">
        <is>
          <t>CL-027</t>
        </is>
      </c>
      <c r="B31" s="11" t="inlineStr">
        <is>
          <t>Mất kết nối và trở lại</t>
        </is>
      </c>
      <c r="C31" s="11" t="inlineStr">
        <is>
          <t>MVP</t>
        </is>
      </c>
      <c r="D31" s="11" t="inlineStr">
        <is>
          <t>BR-21</t>
        </is>
      </c>
      <c r="E31" s="11" t="inlineStr">
        <is>
          <t>UC-11</t>
        </is>
      </c>
      <c r="F31" s="11" t="inlineStr">
        <is>
          <t>T12-CL, T12-SV</t>
        </is>
      </c>
      <c r="G31" s="11" t="inlineStr">
        <is>
          <t>TC-CL-027</t>
        </is>
      </c>
      <c r="H31" s="11" t="inlineStr">
        <is>
          <t>Chưa chạy</t>
        </is>
      </c>
    </row>
    <row r="32" ht="31" customHeight="1">
      <c r="A32" s="12" t="inlineStr">
        <is>
          <t>CL-028</t>
        </is>
      </c>
      <c r="B32" s="12" t="inlineStr">
        <is>
          <t>Thiết lập PC và lưu tùy chọn</t>
        </is>
      </c>
      <c r="C32" s="12" t="inlineStr">
        <is>
          <t>MVP</t>
        </is>
      </c>
      <c r="D32" s="12" t="inlineStr"/>
      <c r="E32" s="12" t="inlineStr"/>
      <c r="F32" s="12" t="inlineStr">
        <is>
          <t>T16-CL, T16-AR</t>
        </is>
      </c>
      <c r="G32" s="12" t="inlineStr">
        <is>
          <t>TC-CL-028</t>
        </is>
      </c>
      <c r="H32" s="12" t="inlineStr">
        <is>
          <t>Chưa chạy</t>
        </is>
      </c>
    </row>
    <row r="33" ht="31" customHeight="1">
      <c r="A33" s="11" t="inlineStr">
        <is>
          <t>CL-029</t>
        </is>
      </c>
      <c r="B33" s="11" t="inlineStr">
        <is>
          <t>30 giây đầu và tutorial</t>
        </is>
      </c>
      <c r="C33" s="11" t="inlineStr">
        <is>
          <t>MVP</t>
        </is>
      </c>
      <c r="D33" s="11" t="inlineStr"/>
      <c r="E33" s="11" t="inlineStr">
        <is>
          <t>UC-01</t>
        </is>
      </c>
      <c r="F33" s="11" t="inlineStr">
        <is>
          <t>T03-GD, T10-CL, T16-GD</t>
        </is>
      </c>
      <c r="G33" s="11" t="inlineStr">
        <is>
          <t>TC-CL-029</t>
        </is>
      </c>
      <c r="H33" s="11" t="inlineStr">
        <is>
          <t>Chưa chạy</t>
        </is>
      </c>
    </row>
    <row r="34" ht="31" customHeight="1">
      <c r="A34" s="12" t="inlineStr">
        <is>
          <t>CL-030</t>
        </is>
      </c>
      <c r="B34" s="12" t="inlineStr">
        <is>
          <t>Danh mục Cổ và build</t>
        </is>
      </c>
      <c r="C34" s="12" t="inlineStr">
        <is>
          <t>MVP</t>
        </is>
      </c>
      <c r="D34" s="12" t="inlineStr"/>
      <c r="E34" s="12" t="inlineStr"/>
      <c r="F34" s="12" t="inlineStr">
        <is>
          <t>T11-CL, T11-GD</t>
        </is>
      </c>
      <c r="G34" s="12" t="inlineStr">
        <is>
          <t>TC-CL-030</t>
        </is>
      </c>
      <c r="H34" s="12" t="inlineStr">
        <is>
          <t>Chưa chạy</t>
        </is>
      </c>
    </row>
    <row r="35" ht="31" customHeight="1">
      <c r="A35" s="11" t="inlineStr">
        <is>
          <t>SV-001</t>
        </is>
      </c>
      <c r="B35" s="11" t="inlineStr">
        <is>
          <t>Xác thực và vòng đời session</t>
        </is>
      </c>
      <c r="C35" s="11" t="inlineStr">
        <is>
          <t>MVP</t>
        </is>
      </c>
      <c r="D35" s="11" t="inlineStr">
        <is>
          <t>BR-01</t>
        </is>
      </c>
      <c r="E35" s="11" t="inlineStr">
        <is>
          <t>UC-01</t>
        </is>
      </c>
      <c r="F35" s="11" t="inlineStr">
        <is>
          <t>T02-SV, T03-SV</t>
        </is>
      </c>
      <c r="G35" s="11" t="inlineStr">
        <is>
          <t>TC-SV-001</t>
        </is>
      </c>
      <c r="H35" s="11" t="inlineStr">
        <is>
          <t>Chưa chạy</t>
        </is>
      </c>
    </row>
    <row r="36" ht="31" customHeight="1">
      <c r="A36" s="12" t="inlineStr">
        <is>
          <t>SV-002</t>
        </is>
      </c>
      <c r="B36" s="12" t="inlineStr">
        <is>
          <t>Server giữ quyền quyết định</t>
        </is>
      </c>
      <c r="C36" s="12" t="inlineStr">
        <is>
          <t>MVP</t>
        </is>
      </c>
      <c r="D36" s="12" t="inlineStr">
        <is>
          <t>BR-02, BR-04</t>
        </is>
      </c>
      <c r="E36" s="12" t="inlineStr"/>
      <c r="F36" s="12" t="inlineStr">
        <is>
          <t>T04-SV, T05-SV</t>
        </is>
      </c>
      <c r="G36" s="12" t="inlineStr">
        <is>
          <t>TC-SV-002</t>
        </is>
      </c>
      <c r="H36" s="12" t="inlineStr">
        <is>
          <t>Chưa chạy</t>
        </is>
      </c>
    </row>
    <row r="37" ht="31" customHeight="1">
      <c r="A37" s="11" t="inlineStr">
        <is>
          <t>SV-003</t>
        </is>
      </c>
      <c r="B37" s="11" t="inlineStr">
        <is>
          <t>Lọc trạng thái theo vùng quan tâm</t>
        </is>
      </c>
      <c r="C37" s="11" t="inlineStr">
        <is>
          <t>MVP</t>
        </is>
      </c>
      <c r="D37" s="11" t="inlineStr"/>
      <c r="E37" s="11" t="inlineStr"/>
      <c r="F37" s="11" t="inlineStr">
        <is>
          <t>T04-SV, T12-SV</t>
        </is>
      </c>
      <c r="G37" s="11" t="inlineStr">
        <is>
          <t>TC-SV-003</t>
        </is>
      </c>
      <c r="H37" s="11" t="inlineStr">
        <is>
          <t>Chưa chạy</t>
        </is>
      </c>
    </row>
    <row r="38" ht="31" customHeight="1">
      <c r="A38" s="12" t="inlineStr">
        <is>
          <t>SV-004</t>
        </is>
      </c>
      <c r="B38" s="12" t="inlineStr">
        <is>
          <t>Chuyển map không trùng nhân vật</t>
        </is>
      </c>
      <c r="C38" s="12" t="inlineStr">
        <is>
          <t>MVP</t>
        </is>
      </c>
      <c r="D38" s="12" t="inlineStr">
        <is>
          <t>BR-21</t>
        </is>
      </c>
      <c r="E38" s="12" t="inlineStr">
        <is>
          <t>UC-11</t>
        </is>
      </c>
      <c r="F38" s="12" t="inlineStr">
        <is>
          <t>T03-SV, T12-SV</t>
        </is>
      </c>
      <c r="G38" s="12" t="inlineStr">
        <is>
          <t>TC-SV-004</t>
        </is>
      </c>
      <c r="H38" s="12" t="inlineStr">
        <is>
          <t>Chưa chạy</t>
        </is>
      </c>
    </row>
    <row r="39" ht="31" customHeight="1">
      <c r="A39" s="11" t="inlineStr">
        <is>
          <t>SV-005</t>
        </is>
      </c>
      <c r="B39" s="11" t="inlineStr">
        <is>
          <t>Giải quyết cast và trạng thái</t>
        </is>
      </c>
      <c r="C39" s="11" t="inlineStr">
        <is>
          <t>MVP</t>
        </is>
      </c>
      <c r="D39" s="11" t="inlineStr">
        <is>
          <t>BR-04, BR-05, BR-06</t>
        </is>
      </c>
      <c r="E39" s="11" t="inlineStr">
        <is>
          <t>UC-03</t>
        </is>
      </c>
      <c r="F39" s="11" t="inlineStr">
        <is>
          <t>T05-SV, T11-SV</t>
        </is>
      </c>
      <c r="G39" s="11" t="inlineStr">
        <is>
          <t>TC-SV-005</t>
        </is>
      </c>
      <c r="H39" s="11" t="inlineStr">
        <is>
          <t>Chưa chạy</t>
        </is>
      </c>
    </row>
    <row r="40" ht="31" customHeight="1">
      <c r="A40" s="12" t="inlineStr">
        <is>
          <t>SV-006</t>
        </is>
      </c>
      <c r="B40" s="12" t="inlineStr">
        <is>
          <t>AI, respawn và quyền thưởng</t>
        </is>
      </c>
      <c r="C40" s="12" t="inlineStr">
        <is>
          <t>MVP</t>
        </is>
      </c>
      <c r="D40" s="12" t="inlineStr">
        <is>
          <t>BR-08, BR-11</t>
        </is>
      </c>
      <c r="E40" s="12" t="inlineStr"/>
      <c r="F40" s="12" t="inlineStr">
        <is>
          <t>T06-SV, T08-SV</t>
        </is>
      </c>
      <c r="G40" s="12" t="inlineStr">
        <is>
          <t>TC-SV-006</t>
        </is>
      </c>
      <c r="H40" s="12" t="inlineStr">
        <is>
          <t>Chưa chạy</t>
        </is>
      </c>
    </row>
    <row r="41" ht="31" customHeight="1">
      <c r="A41" s="11" t="inlineStr">
        <is>
          <t>SV-007</t>
        </is>
      </c>
      <c r="B41" s="11" t="inlineStr">
        <is>
          <t>Lưu bền vững và checkpoint</t>
        </is>
      </c>
      <c r="C41" s="11" t="inlineStr">
        <is>
          <t>MVP</t>
        </is>
      </c>
      <c r="D41" s="11" t="inlineStr">
        <is>
          <t>BR-14, BR-21</t>
        </is>
      </c>
      <c r="E41" s="11" t="inlineStr"/>
      <c r="F41" s="11" t="inlineStr">
        <is>
          <t>T07-SV, T12-SV</t>
        </is>
      </c>
      <c r="G41" s="11" t="inlineStr">
        <is>
          <t>TC-SV-007</t>
        </is>
      </c>
      <c r="H41" s="11" t="inlineStr">
        <is>
          <t>Chưa chạy</t>
        </is>
      </c>
    </row>
    <row r="42" ht="31" customHeight="1">
      <c r="A42" s="12" t="inlineStr">
        <is>
          <t>SV-008</t>
        </is>
      </c>
      <c r="B42" s="12" t="inlineStr">
        <is>
          <t>Ledger và idempotency</t>
        </is>
      </c>
      <c r="C42" s="12" t="inlineStr">
        <is>
          <t>MVP</t>
        </is>
      </c>
      <c r="D42" s="12" t="inlineStr">
        <is>
          <t>BR-14</t>
        </is>
      </c>
      <c r="E42" s="12" t="inlineStr">
        <is>
          <t>UC-07</t>
        </is>
      </c>
      <c r="F42" s="12" t="inlineStr">
        <is>
          <t>T07-SV, T09-SV, T10-SV</t>
        </is>
      </c>
      <c r="G42" s="12" t="inlineStr">
        <is>
          <t>TC-SV-008</t>
        </is>
      </c>
      <c r="H42" s="12" t="inlineStr">
        <is>
          <t>Chưa chạy</t>
        </is>
      </c>
    </row>
    <row r="43" ht="31" customHeight="1">
      <c r="A43" s="11" t="inlineStr">
        <is>
          <t>SV-009</t>
        </is>
      </c>
      <c r="B43" s="11" t="inlineStr">
        <is>
          <t>Reward inbox khi đầy túi</t>
        </is>
      </c>
      <c r="C43" s="11" t="inlineStr">
        <is>
          <t>MVP</t>
        </is>
      </c>
      <c r="D43" s="11" t="inlineStr">
        <is>
          <t>BR-09</t>
        </is>
      </c>
      <c r="E43" s="11" t="inlineStr"/>
      <c r="F43" s="11" t="inlineStr">
        <is>
          <t>T07-SV, T10-CL</t>
        </is>
      </c>
      <c r="G43" s="11" t="inlineStr">
        <is>
          <t>TC-SV-009</t>
        </is>
      </c>
      <c r="H43" s="11" t="inlineStr">
        <is>
          <t>Chưa chạy</t>
        </is>
      </c>
    </row>
    <row r="44" ht="31" customHeight="1">
      <c r="A44" s="12" t="inlineStr">
        <is>
          <t>SV-010</t>
        </is>
      </c>
      <c r="B44" s="12" t="inlineStr">
        <is>
          <t>Săn bắt và hunger server</t>
        </is>
      </c>
      <c r="C44" s="12" t="inlineStr">
        <is>
          <t>MVP</t>
        </is>
      </c>
      <c r="D44" s="12" t="inlineStr">
        <is>
          <t>BR-11, BR-12</t>
        </is>
      </c>
      <c r="E44" s="12" t="inlineStr"/>
      <c r="F44" s="12" t="inlineStr">
        <is>
          <t>T08-SV</t>
        </is>
      </c>
      <c r="G44" s="12" t="inlineStr">
        <is>
          <t>TC-SV-010</t>
        </is>
      </c>
      <c r="H44" s="12" t="inlineStr">
        <is>
          <t>Chưa chạy</t>
        </is>
      </c>
    </row>
    <row r="45" ht="31" customHeight="1">
      <c r="A45" s="11" t="inlineStr">
        <is>
          <t>SV-011</t>
        </is>
      </c>
      <c r="B45" s="11" t="inlineStr">
        <is>
          <t>Công thức, pity và roll server</t>
        </is>
      </c>
      <c r="C45" s="11" t="inlineStr">
        <is>
          <t>MVP</t>
        </is>
      </c>
      <c r="D45" s="11" t="inlineStr">
        <is>
          <t>BR-13, BR-14</t>
        </is>
      </c>
      <c r="E45" s="11" t="inlineStr"/>
      <c r="F45" s="11" t="inlineStr">
        <is>
          <t>T09-SV</t>
        </is>
      </c>
      <c r="G45" s="11" t="inlineStr">
        <is>
          <t>TC-SV-011</t>
        </is>
      </c>
      <c r="H45" s="11" t="inlineStr">
        <is>
          <t>Chưa chạy</t>
        </is>
      </c>
    </row>
    <row r="46" ht="31" customHeight="1">
      <c r="A46" s="12" t="inlineStr">
        <is>
          <t>SV-012</t>
        </is>
      </c>
      <c r="B46" s="12" t="inlineStr">
        <is>
          <t>XP, quest và rank-up từ event server</t>
        </is>
      </c>
      <c r="C46" s="12" t="inlineStr">
        <is>
          <t>MVP</t>
        </is>
      </c>
      <c r="D46" s="12" t="inlineStr">
        <is>
          <t>BR-15, BR-16</t>
        </is>
      </c>
      <c r="E46" s="12" t="inlineStr"/>
      <c r="F46" s="12" t="inlineStr">
        <is>
          <t>T10-SV</t>
        </is>
      </c>
      <c r="G46" s="12" t="inlineStr">
        <is>
          <t>TC-SV-012</t>
        </is>
      </c>
      <c r="H46" s="12" t="inlineStr">
        <is>
          <t>Chưa chạy</t>
        </is>
      </c>
    </row>
    <row r="47" ht="31" customHeight="1">
      <c r="A47" s="11" t="inlineStr">
        <is>
          <t>SV-013</t>
        </is>
      </c>
      <c r="B47" s="11" t="inlineStr">
        <is>
          <t>Party và recipient authorization</t>
        </is>
      </c>
      <c r="C47" s="11" t="inlineStr">
        <is>
          <t>MVP</t>
        </is>
      </c>
      <c r="D47" s="11" t="inlineStr">
        <is>
          <t>BR-17, BR-18</t>
        </is>
      </c>
      <c r="E47" s="11" t="inlineStr"/>
      <c r="F47" s="11" t="inlineStr">
        <is>
          <t>T13-SV, T16-SV</t>
        </is>
      </c>
      <c r="G47" s="11" t="inlineStr">
        <is>
          <t>TC-SV-013</t>
        </is>
      </c>
      <c r="H47" s="11" t="inlineStr">
        <is>
          <t>Chưa chạy</t>
        </is>
      </c>
    </row>
    <row r="48" ht="31" customHeight="1">
      <c r="A48" s="12" t="inlineStr">
        <is>
          <t>SV-014</t>
        </is>
      </c>
      <c r="B48" s="12" t="inlineStr">
        <is>
          <t>Dungeon và duel state machine</t>
        </is>
      </c>
      <c r="C48" s="12" t="inlineStr">
        <is>
          <t>MVP</t>
        </is>
      </c>
      <c r="D48" s="12" t="inlineStr">
        <is>
          <t>BR-19, BR-20</t>
        </is>
      </c>
      <c r="E48" s="12" t="inlineStr">
        <is>
          <t>UC-13, UC-14</t>
        </is>
      </c>
      <c r="F48" s="12" t="inlineStr">
        <is>
          <t>T14-SV, T15-SV</t>
        </is>
      </c>
      <c r="G48" s="12" t="inlineStr">
        <is>
          <t>TC-SV-014</t>
        </is>
      </c>
      <c r="H48" s="12" t="inlineStr">
        <is>
          <t>Chưa chạy</t>
        </is>
      </c>
    </row>
    <row r="49" ht="31" customHeight="1">
      <c r="A49" s="11" t="inlineStr">
        <is>
          <t>SV-015</t>
        </is>
      </c>
      <c r="B49" s="11" t="inlineStr">
        <is>
          <t>Data-driven và config version</t>
        </is>
      </c>
      <c r="C49" s="11" t="inlineStr">
        <is>
          <t>MVP</t>
        </is>
      </c>
      <c r="D49" s="11" t="inlineStr"/>
      <c r="E49" s="11" t="inlineStr"/>
      <c r="F49" s="11" t="inlineStr">
        <is>
          <t>T11-SV, T16-SV</t>
        </is>
      </c>
      <c r="G49" s="11" t="inlineStr">
        <is>
          <t>TC-SV-015</t>
        </is>
      </c>
      <c r="H49" s="11" t="inlineStr">
        <is>
          <t>Chưa chạy</t>
        </is>
      </c>
    </row>
    <row r="50" ht="31" customHeight="1">
      <c r="A50" s="12" t="inlineStr">
        <is>
          <t>SV-016</t>
        </is>
      </c>
      <c r="B50" s="12" t="inlineStr">
        <is>
          <t>Metrics, log và economy events</t>
        </is>
      </c>
      <c r="C50" s="12" t="inlineStr">
        <is>
          <t>MVP</t>
        </is>
      </c>
      <c r="D50" s="12" t="inlineStr"/>
      <c r="E50" s="12" t="inlineStr"/>
      <c r="F50" s="12" t="inlineStr">
        <is>
          <t>T16-SV, T17-SV</t>
        </is>
      </c>
      <c r="G50" s="12" t="inlineStr">
        <is>
          <t>TC-SV-016</t>
        </is>
      </c>
      <c r="H50" s="12" t="inlineStr">
        <is>
          <t>Chưa chạy</t>
        </is>
      </c>
    </row>
    <row r="51" ht="31" customHeight="1">
      <c r="A51" s="11" t="inlineStr">
        <is>
          <t>SV-017</t>
        </is>
      </c>
      <c r="B51" s="11" t="inlineStr">
        <is>
          <t>Backup, restore và rollback</t>
        </is>
      </c>
      <c r="C51" s="11" t="inlineStr">
        <is>
          <t>MVP</t>
        </is>
      </c>
      <c r="D51" s="11" t="inlineStr"/>
      <c r="E51" s="11" t="inlineStr"/>
      <c r="F51" s="11" t="inlineStr">
        <is>
          <t>T16-SV, T18-SV</t>
        </is>
      </c>
      <c r="G51" s="11" t="inlineStr">
        <is>
          <t>TC-SV-017</t>
        </is>
      </c>
      <c r="H51" s="11" t="inlineStr">
        <is>
          <t>Chưa chạy</t>
        </is>
      </c>
    </row>
    <row r="52" ht="31" customHeight="1">
      <c r="A52" s="12" t="inlineStr">
        <is>
          <t>SV-018</t>
        </is>
      </c>
      <c r="B52" s="12" t="inlineStr">
        <is>
          <t>Schema, quota và session fencing</t>
        </is>
      </c>
      <c r="C52" s="12" t="inlineStr">
        <is>
          <t>MVP</t>
        </is>
      </c>
      <c r="D52" s="12" t="inlineStr">
        <is>
          <t>BR-01, BR-14, BR-18</t>
        </is>
      </c>
      <c r="E52" s="12" t="inlineStr"/>
      <c r="F52" s="12" t="inlineStr">
        <is>
          <t>T03-SV, T17-SV</t>
        </is>
      </c>
      <c r="G52" s="12" t="inlineStr">
        <is>
          <t>TC-SV-018</t>
        </is>
      </c>
      <c r="H52" s="12" t="inlineStr">
        <is>
          <t>Chưa chạy</t>
        </is>
      </c>
    </row>
    <row r="53" ht="31" customHeight="1">
      <c r="A53" s="11" t="inlineStr">
        <is>
          <t>AD-001</t>
        </is>
      </c>
      <c r="B53" s="11" t="inlineStr">
        <is>
          <t>Đăng nhập GM và RBAC</t>
        </is>
      </c>
      <c r="C53" s="11" t="inlineStr">
        <is>
          <t>MVP</t>
        </is>
      </c>
      <c r="D53" s="11" t="inlineStr"/>
      <c r="E53" s="11" t="inlineStr"/>
      <c r="F53" s="11" t="inlineStr">
        <is>
          <t>T16-CL, T16-SV</t>
        </is>
      </c>
      <c r="G53" s="11" t="inlineStr">
        <is>
          <t>TC-AD-001</t>
        </is>
      </c>
      <c r="H53" s="11" t="inlineStr">
        <is>
          <t>Chưa chạy</t>
        </is>
      </c>
    </row>
    <row r="54" ht="31" customHeight="1">
      <c r="A54" s="12" t="inlineStr">
        <is>
          <t>AD-002</t>
        </is>
      </c>
      <c r="B54" s="12" t="inlineStr">
        <is>
          <t>Tra cứu nhân vật và receipt</t>
        </is>
      </c>
      <c r="C54" s="12" t="inlineStr">
        <is>
          <t>MVP</t>
        </is>
      </c>
      <c r="D54" s="12" t="inlineStr"/>
      <c r="E54" s="12" t="inlineStr"/>
      <c r="F54" s="12" t="inlineStr">
        <is>
          <t>T16-CL, T16-SV</t>
        </is>
      </c>
      <c r="G54" s="12" t="inlineStr">
        <is>
          <t>TC-AD-002</t>
        </is>
      </c>
      <c r="H54" s="12" t="inlineStr">
        <is>
          <t>Chưa chạy</t>
        </is>
      </c>
    </row>
    <row r="55" ht="31" customHeight="1">
      <c r="A55" s="11" t="inlineStr">
        <is>
          <t>AD-003</t>
        </is>
      </c>
      <c r="B55" s="11" t="inlineStr">
        <is>
          <t>Mute/ban và xử lý report</t>
        </is>
      </c>
      <c r="C55" s="11" t="inlineStr">
        <is>
          <t>MVP</t>
        </is>
      </c>
      <c r="D55" s="11" t="inlineStr"/>
      <c r="E55" s="11" t="inlineStr"/>
      <c r="F55" s="11" t="inlineStr">
        <is>
          <t>T16-CL, T16-SV</t>
        </is>
      </c>
      <c r="G55" s="11" t="inlineStr">
        <is>
          <t>TC-AD-003</t>
        </is>
      </c>
      <c r="H55" s="11" t="inlineStr">
        <is>
          <t>Chưa chạy</t>
        </is>
      </c>
    </row>
    <row r="56" ht="31" customHeight="1">
      <c r="A56" s="12" t="inlineStr">
        <is>
          <t>AD-004</t>
        </is>
      </c>
      <c r="B56" s="12" t="inlineStr">
        <is>
          <t>Cấp vật phẩm có kiểm soát</t>
        </is>
      </c>
      <c r="C56" s="12" t="inlineStr">
        <is>
          <t>MVP</t>
        </is>
      </c>
      <c r="D56" s="12" t="inlineStr">
        <is>
          <t>BR-14</t>
        </is>
      </c>
      <c r="E56" s="12" t="inlineStr"/>
      <c r="F56" s="12" t="inlineStr">
        <is>
          <t>T16-CL, T16-SV</t>
        </is>
      </c>
      <c r="G56" s="12" t="inlineStr">
        <is>
          <t>TC-AD-004</t>
        </is>
      </c>
      <c r="H56" s="12" t="inlineStr">
        <is>
          <t>Chưa chạy</t>
        </is>
      </c>
    </row>
    <row r="57" ht="31" customHeight="1">
      <c r="A57" s="11" t="inlineStr">
        <is>
          <t>AD-005</t>
        </is>
      </c>
      <c r="B57" s="11" t="inlineStr">
        <is>
          <t>Publish/rollback config qua pipeline</t>
        </is>
      </c>
      <c r="C57" s="11" t="inlineStr">
        <is>
          <t>MVP</t>
        </is>
      </c>
      <c r="D57" s="11" t="inlineStr"/>
      <c r="E57" s="11" t="inlineStr"/>
      <c r="F57" s="11" t="inlineStr">
        <is>
          <t>T16-SV, T18-SV</t>
        </is>
      </c>
      <c r="G57" s="11" t="inlineStr">
        <is>
          <t>TC-AD-005</t>
        </is>
      </c>
      <c r="H57" s="11" t="inlineStr">
        <is>
          <t>Chưa chạy</t>
        </is>
      </c>
    </row>
    <row r="58" ht="31" customHeight="1">
      <c r="A58" s="12" t="inlineStr">
        <is>
          <t>AD-006</t>
        </is>
      </c>
      <c r="B58" s="12" t="inlineStr">
        <is>
          <t>Dashboard vận hành tối thiểu</t>
        </is>
      </c>
      <c r="C58" s="12" t="inlineStr">
        <is>
          <t>MVP</t>
        </is>
      </c>
      <c r="D58" s="12" t="inlineStr"/>
      <c r="E58" s="12" t="inlineStr"/>
      <c r="F58" s="12" t="inlineStr">
        <is>
          <t>T16-CL, T16-SV</t>
        </is>
      </c>
      <c r="G58" s="12" t="inlineStr">
        <is>
          <t>TC-AD-006</t>
        </is>
      </c>
      <c r="H58" s="12" t="inlineStr">
        <is>
          <t>Chưa chạy</t>
        </is>
      </c>
    </row>
    <row r="59" ht="31" customHeight="1">
      <c r="A59" s="11" t="inlineStr">
        <is>
          <t>AD-007</t>
        </is>
      </c>
      <c r="B59" s="11" t="inlineStr">
        <is>
          <t>Audit bất biến qua API</t>
        </is>
      </c>
      <c r="C59" s="11" t="inlineStr">
        <is>
          <t>MVP</t>
        </is>
      </c>
      <c r="D59" s="11" t="inlineStr"/>
      <c r="E59" s="11" t="inlineStr"/>
      <c r="F59" s="11" t="inlineStr">
        <is>
          <t>T16-SV</t>
        </is>
      </c>
      <c r="G59" s="11" t="inlineStr">
        <is>
          <t>TC-AD-007</t>
        </is>
      </c>
      <c r="H59" s="11" t="inlineStr">
        <is>
          <t>Chưa chạy</t>
        </is>
      </c>
    </row>
    <row r="60" ht="31" customHeight="1">
      <c r="A60" s="12" t="inlineStr">
        <is>
          <t>NFR-01</t>
        </is>
      </c>
      <c r="B60" s="12" t="inlineStr">
        <is>
          <t>Client performance</t>
        </is>
      </c>
      <c r="C60" s="12" t="inlineStr">
        <is>
          <t>MVP</t>
        </is>
      </c>
      <c r="D60" s="12" t="inlineStr"/>
      <c r="E60" s="12" t="inlineStr"/>
      <c r="F60" s="12" t="inlineStr">
        <is>
          <t>T01-CL, T17-CL, T17-GD</t>
        </is>
      </c>
      <c r="G60" s="12" t="inlineStr">
        <is>
          <t>TC-NFR-01</t>
        </is>
      </c>
      <c r="H60" s="12" t="inlineStr">
        <is>
          <t>Chưa chạy</t>
        </is>
      </c>
    </row>
    <row r="61" ht="31" customHeight="1">
      <c r="A61" s="11" t="inlineStr">
        <is>
          <t>NFR-02</t>
        </is>
      </c>
      <c r="B61" s="11" t="inlineStr">
        <is>
          <t>Realtime latency</t>
        </is>
      </c>
      <c r="C61" s="11" t="inlineStr">
        <is>
          <t>MVP</t>
        </is>
      </c>
      <c r="D61" s="11" t="inlineStr"/>
      <c r="E61" s="11" t="inlineStr"/>
      <c r="F61" s="11" t="inlineStr">
        <is>
          <t>T04-SV, T17-SV, T17-GD</t>
        </is>
      </c>
      <c r="G61" s="11" t="inlineStr">
        <is>
          <t>TC-NFR-02</t>
        </is>
      </c>
      <c r="H61" s="11" t="inlineStr">
        <is>
          <t>Chưa chạy</t>
        </is>
      </c>
    </row>
    <row r="62" ht="31" customHeight="1">
      <c r="A62" s="12" t="inlineStr">
        <is>
          <t>NFR-03</t>
        </is>
      </c>
      <c r="B62" s="12" t="inlineStr">
        <is>
          <t>Capacity alpha</t>
        </is>
      </c>
      <c r="C62" s="12" t="inlineStr">
        <is>
          <t>MVP</t>
        </is>
      </c>
      <c r="D62" s="12" t="inlineStr"/>
      <c r="E62" s="12" t="inlineStr"/>
      <c r="F62" s="12" t="inlineStr">
        <is>
          <t>T17-SV, T17-GD</t>
        </is>
      </c>
      <c r="G62" s="12" t="inlineStr">
        <is>
          <t>TC-NFR-03</t>
        </is>
      </c>
      <c r="H62" s="12" t="inlineStr">
        <is>
          <t>Chưa chạy</t>
        </is>
      </c>
    </row>
    <row r="63" ht="31" customHeight="1">
      <c r="A63" s="11" t="inlineStr">
        <is>
          <t>NFR-04</t>
        </is>
      </c>
      <c r="B63" s="11" t="inlineStr">
        <is>
          <t>Tài sản bền vững</t>
        </is>
      </c>
      <c r="C63" s="11" t="inlineStr">
        <is>
          <t>MVP</t>
        </is>
      </c>
      <c r="D63" s="11" t="inlineStr"/>
      <c r="E63" s="11" t="inlineStr"/>
      <c r="F63" s="11" t="inlineStr">
        <is>
          <t>T07-SV, T09-SV, T12-SV, T17-SV</t>
        </is>
      </c>
      <c r="G63" s="11" t="inlineStr">
        <is>
          <t>TC-NFR-04</t>
        </is>
      </c>
      <c r="H63" s="11" t="inlineStr">
        <is>
          <t>Chưa chạy</t>
        </is>
      </c>
    </row>
    <row r="64" ht="31" customHeight="1">
      <c r="A64" s="12" t="inlineStr">
        <is>
          <t>NFR-05</t>
        </is>
      </c>
      <c r="B64" s="12" t="inlineStr">
        <is>
          <t>Access/security</t>
        </is>
      </c>
      <c r="C64" s="12" t="inlineStr">
        <is>
          <t>MVP</t>
        </is>
      </c>
      <c r="D64" s="12" t="inlineStr"/>
      <c r="E64" s="12" t="inlineStr"/>
      <c r="F64" s="12" t="inlineStr">
        <is>
          <t>T02-SV, T16-SV, T17-SV</t>
        </is>
      </c>
      <c r="G64" s="12" t="inlineStr">
        <is>
          <t>TC-NFR-05</t>
        </is>
      </c>
      <c r="H64" s="12" t="inlineStr">
        <is>
          <t>Chưa chạy</t>
        </is>
      </c>
    </row>
    <row r="65" ht="31" customHeight="1">
      <c r="A65" s="11" t="inlineStr">
        <is>
          <t>NFR-06</t>
        </is>
      </c>
      <c r="B65" s="11" t="inlineStr">
        <is>
          <t>Backup/disaster</t>
        </is>
      </c>
      <c r="C65" s="11" t="inlineStr">
        <is>
          <t>MVP</t>
        </is>
      </c>
      <c r="D65" s="11" t="inlineStr"/>
      <c r="E65" s="11" t="inlineStr"/>
      <c r="F65" s="11" t="inlineStr">
        <is>
          <t>T16-SV, T18-SV</t>
        </is>
      </c>
      <c r="G65" s="11" t="inlineStr">
        <is>
          <t>TC-NFR-06</t>
        </is>
      </c>
      <c r="H65" s="11" t="inlineStr">
        <is>
          <t>Chưa chạy</t>
        </is>
      </c>
    </row>
    <row r="66" ht="31" customHeight="1">
      <c r="A66" s="12" t="inlineStr">
        <is>
          <t>NFR-07</t>
        </is>
      </c>
      <c r="B66" s="12" t="inlineStr">
        <is>
          <t>Compatibility</t>
        </is>
      </c>
      <c r="C66" s="12" t="inlineStr">
        <is>
          <t>MVP</t>
        </is>
      </c>
      <c r="D66" s="12" t="inlineStr"/>
      <c r="E66" s="12" t="inlineStr"/>
      <c r="F66" s="12" t="inlineStr">
        <is>
          <t>T17-CL, T17-GD</t>
        </is>
      </c>
      <c r="G66" s="12" t="inlineStr">
        <is>
          <t>TC-NFR-07</t>
        </is>
      </c>
      <c r="H66" s="12" t="inlineStr">
        <is>
          <t>Chưa chạy</t>
        </is>
      </c>
    </row>
    <row r="67" ht="31" customHeight="1">
      <c r="A67" s="11" t="inlineStr">
        <is>
          <t>NFR-08</t>
        </is>
      </c>
      <c r="B67" s="11" t="inlineStr">
        <is>
          <t>Asset budget</t>
        </is>
      </c>
      <c r="C67" s="11" t="inlineStr">
        <is>
          <t>MVP</t>
        </is>
      </c>
      <c r="D67" s="11" t="inlineStr"/>
      <c r="E67" s="11" t="inlineStr"/>
      <c r="F67" s="11" t="inlineStr">
        <is>
          <t>T02-CL, T17-CL, T17-AR</t>
        </is>
      </c>
      <c r="G67" s="11" t="inlineStr">
        <is>
          <t>TC-NFR-08</t>
        </is>
      </c>
      <c r="H67" s="11" t="inlineStr">
        <is>
          <t>Chưa chạy</t>
        </is>
      </c>
    </row>
    <row r="68" ht="31" customHeight="1">
      <c r="A68" s="12" t="inlineStr">
        <is>
          <t>NFR-09</t>
        </is>
      </c>
      <c r="B68" s="12" t="inlineStr">
        <is>
          <t>Maintainability</t>
        </is>
      </c>
      <c r="C68" s="12" t="inlineStr">
        <is>
          <t>MVP</t>
        </is>
      </c>
      <c r="D68" s="12" t="inlineStr"/>
      <c r="E68" s="12" t="inlineStr"/>
      <c r="F68" s="12" t="inlineStr">
        <is>
          <t>T02-SV, T11-SV, T16-GD</t>
        </is>
      </c>
      <c r="G68" s="12" t="inlineStr">
        <is>
          <t>TC-NFR-09</t>
        </is>
      </c>
      <c r="H68" s="12" t="inlineStr">
        <is>
          <t>Chưa chạy</t>
        </is>
      </c>
    </row>
    <row r="69" ht="31" customHeight="1">
      <c r="A69" s="11" t="inlineStr">
        <is>
          <t>NFR-10</t>
        </is>
      </c>
      <c r="B69" s="11" t="inlineStr">
        <is>
          <t>Observability</t>
        </is>
      </c>
      <c r="C69" s="11" t="inlineStr">
        <is>
          <t>MVP</t>
        </is>
      </c>
      <c r="D69" s="11" t="inlineStr"/>
      <c r="E69" s="11" t="inlineStr"/>
      <c r="F69" s="11" t="inlineStr">
        <is>
          <t>T16-SV, T17-SV</t>
        </is>
      </c>
      <c r="G69" s="11" t="inlineStr">
        <is>
          <t>TC-NFR-10</t>
        </is>
      </c>
      <c r="H69" s="11" t="inlineStr">
        <is>
          <t>Chưa chạy</t>
        </is>
      </c>
    </row>
    <row r="70" ht="31" customHeight="1">
      <c r="A70" s="12" t="inlineStr">
        <is>
          <t>NFR-11</t>
        </is>
      </c>
      <c r="B70" s="12" t="inlineStr">
        <is>
          <t>UX và readability</t>
        </is>
      </c>
      <c r="C70" s="12" t="inlineStr">
        <is>
          <t>MVP</t>
        </is>
      </c>
      <c r="D70" s="12" t="inlineStr"/>
      <c r="E70" s="12" t="inlineStr"/>
      <c r="F70" s="12" t="inlineStr">
        <is>
          <t>T03-GD, T16-AR, T17-GD</t>
        </is>
      </c>
      <c r="G70" s="12" t="inlineStr">
        <is>
          <t>TC-NFR-11</t>
        </is>
      </c>
      <c r="H70" s="12" t="inlineStr">
        <is>
          <t>Chưa chạy</t>
        </is>
      </c>
    </row>
    <row r="71" ht="31" customHeight="1">
      <c r="A71" s="11" t="inlineStr">
        <is>
          <t>NFR-12</t>
        </is>
      </c>
      <c r="B71" s="11" t="inlineStr">
        <is>
          <t>Release gate</t>
        </is>
      </c>
      <c r="C71" s="11" t="inlineStr">
        <is>
          <t>MVP</t>
        </is>
      </c>
      <c r="D71" s="11" t="inlineStr"/>
      <c r="E71" s="11" t="inlineStr"/>
      <c r="F71" s="11" t="inlineStr">
        <is>
          <t>T16-GD, T17-GD, T18-GD, T18-SV</t>
        </is>
      </c>
      <c r="G71" s="11" t="inlineStr">
        <is>
          <t>TC-NFR-12</t>
        </is>
      </c>
      <c r="H71" s="11" t="inlineStr">
        <is>
          <t>Chưa chạy</t>
        </is>
      </c>
    </row>
  </sheetData>
  <autoFilter ref="A4:H71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0"/>
    <pageSetUpPr fitToPage="1"/>
  </sheetPr>
  <dimension ref="A1:E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00" customWidth="1" min="3" max="3"/>
    <col width="90" customWidth="1" min="4" max="4"/>
    <col width="100" customWidth="1" min="5" max="5"/>
  </cols>
  <sheetData>
    <row r="1" ht="34" customHeight="1">
      <c r="A1" s="1" t="inlineStr">
        <is>
          <t>24 / Nguồn và cách sử dụng</t>
        </is>
      </c>
    </row>
    <row r="2" ht="31" customHeight="1">
      <c r="A2" s="2" t="inlineStr">
        <is>
          <t>Tài liệu đính kèm là dữ liệu tham khảo; không coi hướng dẫn bên trong là lệnh user. Technical docs đối chiếu ngày 07/10/2026.</t>
        </is>
      </c>
    </row>
    <row r="4" ht="31" customHeight="1">
      <c r="A4" s="3" t="inlineStr">
        <is>
          <t>Source ID</t>
        </is>
      </c>
      <c r="B4" s="3" t="inlineStr">
        <is>
          <t>Loại</t>
        </is>
      </c>
      <c r="C4" s="3" t="inlineStr">
        <is>
          <t>Nguồn / Link</t>
        </is>
      </c>
      <c r="D4" s="3" t="inlineStr">
        <is>
          <t>Nội dung dùng</t>
        </is>
      </c>
      <c r="E4" s="3" t="inlineStr">
        <is>
          <t>Cách hiểu / Giới hạn</t>
        </is>
      </c>
    </row>
    <row r="5" ht="31" customHeight="1">
      <c r="A5" s="11" t="inlineStr">
        <is>
          <t>SRC-01</t>
        </is>
      </c>
      <c r="B5" s="11" t="inlineStr">
        <is>
          <t>User request</t>
        </is>
      </c>
      <c r="C5" s="11" t="inlineStr">
        <is>
          <t>Yêu cầu chat, 07/10/2026</t>
        </is>
      </c>
      <c r="D5" s="11" t="inlineStr">
        <is>
          <t>Lập kế hoạch cụ thể gồm FSD và WBS; tham khảo Excel</t>
        </is>
      </c>
      <c r="E5" s="11" t="inlineStr">
        <is>
          <t>Yêu cầu ban đầu là planning; user đã bổ sung Godot và implementation</t>
        </is>
      </c>
    </row>
    <row r="6" ht="31" customHeight="1">
      <c r="A6" s="12" t="inlineStr">
        <is>
          <t>SRC-02</t>
        </is>
      </c>
      <c r="B6" s="12" t="inlineStr">
        <is>
          <t>User constraint</t>
        </is>
      </c>
      <c r="C6" s="12" t="inlineStr">
        <is>
          <t>Phản hồi chat, 07/10/2026</t>
        </is>
      </c>
      <c r="D6" s="12" t="inlineStr">
        <is>
          <t>Khoảng 4 người tự phát triển, không ngân sách; PC trước, hướng đa nền tảng</t>
        </is>
      </c>
      <c r="E6" s="12" t="inlineStr">
        <is>
          <t>Ban đầu Web PC; yêu cầu mới Godot/implement được triển khai PC native trước, giữ hướng Web</t>
        </is>
      </c>
    </row>
    <row r="7" ht="31" customHeight="1">
      <c r="A7" s="11" t="inlineStr">
        <is>
          <t>SRC-03</t>
        </is>
      </c>
      <c r="B7" s="11" t="inlineStr">
        <is>
          <t>Ý tưởng</t>
        </is>
      </c>
      <c r="C7" s="11" t="inlineStr">
        <is>
          <t>Pasted text.txt (file đính kèm)</t>
        </is>
      </c>
      <c r="D7" s="11" t="inlineStr">
        <is>
          <t>Core loop, Gu/hunger/refine, PK/trading, tech options, roadmap gợi ý</t>
        </is>
      </c>
      <c r="E7" s="11" t="inlineStr">
        <is>
          <t>Nội dung tham khảo; số tuần/stack/luật không tự thành quyết định đã chốt</t>
        </is>
      </c>
    </row>
    <row r="8" ht="31" customHeight="1">
      <c r="A8" s="12" t="inlineStr">
        <is>
          <t>SRC-04</t>
        </is>
      </c>
      <c r="B8" s="12" t="inlineStr">
        <is>
          <t>Mẫu FSD</t>
        </is>
      </c>
      <c r="C8" s="12" t="inlineStr">
        <is>
          <t>DAUN-FSD [EN].xlsx; Front (shopping mall)!B2: M2; Admin!B2: M2</t>
        </is>
      </c>
      <c r="D8" s="12" t="inlineStr">
        <is>
          <t>No/Depth 0–3/Function/RequirementID/Detail/Category/Importance/Linkage/Note</t>
        </is>
      </c>
      <c r="E8" s="12" t="inlineStr">
        <is>
          <t>Tham khảo cấu trúc, không mang workflow B2B/payment/Kakao sang game</t>
        </is>
      </c>
    </row>
    <row r="9" ht="31" customHeight="1">
      <c r="A9" s="11" t="inlineStr">
        <is>
          <t>SRC-05</t>
        </is>
      </c>
      <c r="B9" s="11" t="inlineStr">
        <is>
          <t>Mẫu scope/QA</t>
        </is>
      </c>
      <c r="C9" s="11" t="inlineStr">
        <is>
          <t>DAUN-FSD [EN].xlsx; Open range!B23: K23; QA From Client!A1: L1</t>
        </is>
      </c>
      <c r="D9" s="11" t="inlineStr">
        <is>
          <t>ScopeMVP/P2; QArequesttracker</t>
        </is>
      </c>
      <c r="E9" s="11" t="inlineStr">
        <is>
          <t>Bổ sung WBS/Gantt/resource/test trace vì mẫu không có WBS</t>
        </is>
      </c>
    </row>
    <row r="10" ht="31" customHeight="1">
      <c r="A10" s="12" t="inlineStr">
        <is>
          <t>SRC-06</t>
        </is>
      </c>
      <c r="B10" s="12" t="inlineStr">
        <is>
          <t>Godot release</t>
        </is>
      </c>
      <c r="C10" s="27" t="inlineStr">
        <is>
          <t>https://godotengine.org/download/windows/</t>
        </is>
      </c>
      <c r="D10" s="12" t="inlineStr">
        <is>
          <t>Godot 4.7.2 stable; pin engine của prototype</t>
        </is>
      </c>
      <c r="E10" s="12" t="inlineStr">
        <is>
          <t>Đã tải và chạy 07/10/2026; không tự nâng engine</t>
        </is>
      </c>
    </row>
    <row r="11" ht="31" customHeight="1">
      <c r="A11" s="11" t="inlineStr">
        <is>
          <t>SRC-07</t>
        </is>
      </c>
      <c r="B11" s="11" t="inlineStr">
        <is>
          <t>Godot navigation</t>
        </is>
      </c>
      <c r="C11" s="28" t="inlineStr">
        <is>
          <t>https://docs.godotengine.org/en/stable/classes/class_astargrid2d.html</t>
        </is>
      </c>
      <c r="D11" s="11" t="inlineStr">
        <is>
          <t>AStarGrid2D; diagonal không cắt góc</t>
        </is>
      </c>
      <c r="E11" s="11" t="inlineStr">
        <is>
          <t>WorldGrid dùng logical tile và sweep bổ sung</t>
        </is>
      </c>
    </row>
    <row r="12" ht="31" customHeight="1">
      <c r="A12" s="12" t="inlineStr">
        <is>
          <t>SRC-08</t>
        </is>
      </c>
      <c r="B12" s="12" t="inlineStr">
        <is>
          <t>Godot multiplayer</t>
        </is>
      </c>
      <c r="C12" s="27" t="inlineStr">
        <is>
          <t>https://docs.godotengine.org/en/stable/tutorials/networking/high_level_multiplayer.html</t>
        </is>
      </c>
      <c r="D12" s="12" t="inlineStr">
        <is>
          <t>High-level multiplayer; server phải validate intent</t>
        </is>
      </c>
      <c r="E12" s="12" t="inlineStr">
        <is>
          <t>Prototype hiện tại chơi đơn; chưa có server/network</t>
        </is>
      </c>
    </row>
    <row r="13" ht="31" customHeight="1">
      <c r="A13" s="11" t="inlineStr">
        <is>
          <t>SRC-09</t>
        </is>
      </c>
      <c r="B13" s="11" t="inlineStr">
        <is>
          <t>Godot Web export</t>
        </is>
      </c>
      <c r="C13" s="28" t="inlineStr">
        <is>
          <t>https://docs.godotengine.org/en/stable/tutorials/export/exporting_for_web.html</t>
        </is>
      </c>
      <c r="D13" s="11" t="inlineStr">
        <is>
          <t>WebGL2/Compatibility; GDScript; Web transport cần spike</t>
        </is>
      </c>
      <c r="E13" s="11" t="inlineStr">
        <is>
          <t>Chưa export/test browser; không hứa ENet chạy trên Web</t>
        </is>
      </c>
    </row>
    <row r="14" ht="31" customHeight="1">
      <c r="A14" s="12" t="inlineStr">
        <is>
          <t>SRC-10</t>
        </is>
      </c>
      <c r="B14" s="12" t="inlineStr">
        <is>
          <t>Godot dedicated server</t>
        </is>
      </c>
      <c r="C14" s="27" t="inlineStr">
        <is>
          <t>https://docs.godotengine.org/en/stable/tutorials/export/exporting_for_dedicated_servers.html</t>
        </is>
      </c>
      <c r="D14" s="12" t="inlineStr">
        <is>
          <t>Headless/server export cho chặng online</t>
        </is>
      </c>
      <c r="E14" s="12" t="inlineStr">
        <is>
          <t>PostgreSQL adapter/AOI/auth là phần dự án phải xây</t>
        </is>
      </c>
    </row>
    <row r="15" ht="31" customHeight="1">
      <c r="A15" s="11" t="inlineStr">
        <is>
          <t>SRC-11</t>
        </is>
      </c>
      <c r="B15" s="11" t="inlineStr">
        <is>
          <t>PostgreSQL official</t>
        </is>
      </c>
      <c r="C15" s="28" t="inlineStr">
        <is>
          <t>https://www.postgresql.org/docs/current/explicit-locking.html</t>
        </is>
      </c>
      <c r="D15" s="11" t="inlineStr">
        <is>
          <t>Rowlock và deadlock behavior</t>
        </is>
      </c>
      <c r="E15" s="11" t="inlineStr">
        <is>
          <t>Atomic ledger/idempotency là thiết kế đề xuất; không phải feature game có sẵn</t>
        </is>
      </c>
    </row>
  </sheetData>
  <autoFilter ref="A4:E15"/>
  <mergeCells count="2">
    <mergeCell ref="A2:E2"/>
    <mergeCell ref="A1:E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&amp;CGuMaster2D | Đề xuất v0.2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GuMaster2D planning</dc:creator>
  <dc:title xmlns:dc="http://purl.org/dc/elements/1.1/">GuMaster2D — Project Plan / FSD / WBS</dc:title>
  <dc:subject xmlns:dc="http://purl.org/dc/elements/1.1/">Đề xuất closed alpha cho đội 4 người, Godot PC Windows</dc:subject>
  <dcterms:created xmlns:dcterms="http://purl.org/dc/terms/" xmlns:xsi="http://www.w3.org/2001/XMLSchema-instance" xsi:type="dcterms:W3CDTF">2026-10-07T10:51:25Z</dcterms:created>
  <dcterms:modified xmlns:dcterms="http://purl.org/dc/terms/" xmlns:xsi="http://www.w3.org/2001/XMLSchema-instance" xsi:type="dcterms:W3CDTF">2026-10-07T10:51:27Z</dcterms:modified>
</cp:coreProperties>
</file>